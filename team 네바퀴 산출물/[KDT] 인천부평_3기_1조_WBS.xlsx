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20001_{42696A26-4826-4817-AC3E-B6FED99900F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WBS(진척관리)" sheetId="1" r:id="rId1"/>
  </sheets>
  <definedNames>
    <definedName name="_xlnm._FilterDatabase" localSheetId="0" hidden="1">'WBS(진척관리)'!$A$2:$U$2</definedName>
    <definedName name="CalcDay">TODAY()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" i="1" l="1"/>
  <c r="O87" i="1"/>
  <c r="P87" i="1"/>
  <c r="Q87" i="1" s="1"/>
  <c r="P86" i="1"/>
  <c r="Q86" i="1" s="1"/>
  <c r="P85" i="1"/>
  <c r="Q85" i="1" s="1"/>
  <c r="O85" i="1"/>
  <c r="O84" i="1"/>
  <c r="O83" i="1"/>
  <c r="O82" i="1"/>
  <c r="P83" i="1"/>
  <c r="Q83" i="1" s="1"/>
  <c r="P82" i="1"/>
  <c r="Q82" i="1" s="1"/>
  <c r="O81" i="1"/>
  <c r="O80" i="1"/>
  <c r="O79" i="1"/>
  <c r="P79" i="1"/>
  <c r="Q79" i="1" s="1"/>
  <c r="P78" i="1"/>
  <c r="Q78" i="1" s="1"/>
  <c r="O78" i="1"/>
  <c r="O77" i="1"/>
  <c r="P76" i="1"/>
  <c r="Q76" i="1" s="1"/>
  <c r="O76" i="1"/>
  <c r="O75" i="1"/>
  <c r="P75" i="1"/>
  <c r="T75" i="1" s="1"/>
  <c r="O74" i="1"/>
  <c r="O73" i="1"/>
  <c r="P72" i="1"/>
  <c r="Q72" i="1" s="1"/>
  <c r="P71" i="1"/>
  <c r="S82" i="1" s="1"/>
  <c r="P70" i="1"/>
  <c r="O70" i="1"/>
  <c r="O69" i="1"/>
  <c r="P69" i="1"/>
  <c r="T69" i="1" s="1"/>
  <c r="P68" i="1"/>
  <c r="O68" i="1"/>
  <c r="O67" i="1"/>
  <c r="O66" i="1"/>
  <c r="P66" i="1"/>
  <c r="P65" i="1"/>
  <c r="O64" i="1"/>
  <c r="O63" i="1"/>
  <c r="P63" i="1"/>
  <c r="Q63" i="1" s="1"/>
  <c r="P62" i="1"/>
  <c r="O61" i="1"/>
  <c r="O60" i="1"/>
  <c r="P59" i="1"/>
  <c r="S59" i="1" s="1"/>
  <c r="P58" i="1"/>
  <c r="S67" i="1" s="1"/>
  <c r="P57" i="1"/>
  <c r="S66" i="1" s="1"/>
  <c r="P55" i="1"/>
  <c r="O55" i="1"/>
  <c r="O54" i="1"/>
  <c r="P54" i="1"/>
  <c r="T54" i="1" s="1"/>
  <c r="O50" i="1"/>
  <c r="O49" i="1"/>
  <c r="O48" i="1"/>
  <c r="O47" i="1"/>
  <c r="O46" i="1"/>
  <c r="O45" i="1"/>
  <c r="O42" i="1"/>
  <c r="O41" i="1"/>
  <c r="O40" i="1"/>
  <c r="O39" i="1"/>
  <c r="O37" i="1"/>
  <c r="O36" i="1"/>
  <c r="O51" i="1"/>
  <c r="O52" i="1"/>
  <c r="P52" i="1"/>
  <c r="T52" i="1" s="1"/>
  <c r="P51" i="1"/>
  <c r="T51" i="1" s="1"/>
  <c r="P49" i="1"/>
  <c r="Q49" i="1" s="1"/>
  <c r="P48" i="1"/>
  <c r="Q48" i="1" s="1"/>
  <c r="P47" i="1"/>
  <c r="P46" i="1"/>
  <c r="P45" i="1"/>
  <c r="P43" i="1"/>
  <c r="P42" i="1"/>
  <c r="Q42" i="1" s="1"/>
  <c r="P41" i="1"/>
  <c r="P39" i="1"/>
  <c r="P38" i="1"/>
  <c r="P37" i="1"/>
  <c r="Q37" i="1" s="1"/>
  <c r="P34" i="1"/>
  <c r="S34" i="1" s="1"/>
  <c r="P33" i="1"/>
  <c r="S33" i="1" s="1"/>
  <c r="P32" i="1"/>
  <c r="T32" i="1" s="1"/>
  <c r="P31" i="1"/>
  <c r="T31" i="1" s="1"/>
  <c r="P28" i="1"/>
  <c r="O43" i="1"/>
  <c r="O38" i="1"/>
  <c r="O53" i="1"/>
  <c r="O35" i="1"/>
  <c r="H5" i="1"/>
  <c r="H4" i="1" s="1"/>
  <c r="I84" i="1"/>
  <c r="I81" i="1"/>
  <c r="H84" i="1"/>
  <c r="H81" i="1"/>
  <c r="J81" i="1" s="1"/>
  <c r="H80" i="1"/>
  <c r="I77" i="1"/>
  <c r="H77" i="1"/>
  <c r="J77" i="1" s="1"/>
  <c r="I74" i="1"/>
  <c r="H74" i="1"/>
  <c r="I73" i="1"/>
  <c r="H73" i="1"/>
  <c r="I64" i="1"/>
  <c r="I60" i="1" s="1"/>
  <c r="H64" i="1"/>
  <c r="H60" i="1" s="1"/>
  <c r="I61" i="1"/>
  <c r="H61" i="1"/>
  <c r="I53" i="1"/>
  <c r="H53" i="1"/>
  <c r="I50" i="1"/>
  <c r="H50" i="1"/>
  <c r="J50" i="1" s="1"/>
  <c r="H44" i="1"/>
  <c r="I44" i="1"/>
  <c r="I40" i="1"/>
  <c r="H40" i="1"/>
  <c r="I36" i="1"/>
  <c r="K41" i="1" s="1"/>
  <c r="L41" i="1" s="1"/>
  <c r="H36" i="1"/>
  <c r="I14" i="1"/>
  <c r="J87" i="1"/>
  <c r="J86" i="1"/>
  <c r="J85" i="1"/>
  <c r="J83" i="1"/>
  <c r="J82" i="1"/>
  <c r="J79" i="1"/>
  <c r="J78" i="1"/>
  <c r="J76" i="1"/>
  <c r="J75" i="1"/>
  <c r="J70" i="1"/>
  <c r="J69" i="1"/>
  <c r="J68" i="1"/>
  <c r="J66" i="1"/>
  <c r="J65" i="1"/>
  <c r="J63" i="1"/>
  <c r="J62" i="1"/>
  <c r="J55" i="1"/>
  <c r="J54" i="1"/>
  <c r="J52" i="1"/>
  <c r="J51" i="1"/>
  <c r="J49" i="1"/>
  <c r="J48" i="1"/>
  <c r="J47" i="1"/>
  <c r="J46" i="1"/>
  <c r="J43" i="1"/>
  <c r="J42" i="1"/>
  <c r="J41" i="1"/>
  <c r="J39" i="1"/>
  <c r="J38" i="1"/>
  <c r="J37" i="1"/>
  <c r="J45" i="1"/>
  <c r="I67" i="1"/>
  <c r="J67" i="1" s="1"/>
  <c r="I56" i="1"/>
  <c r="I30" i="1"/>
  <c r="I27" i="1"/>
  <c r="I18" i="1"/>
  <c r="I11" i="1"/>
  <c r="I8" i="1"/>
  <c r="I5" i="1"/>
  <c r="I4" i="1" s="1"/>
  <c r="L75" i="1"/>
  <c r="L54" i="1"/>
  <c r="L52" i="1"/>
  <c r="L51" i="1"/>
  <c r="K50" i="1" s="1"/>
  <c r="L69" i="1"/>
  <c r="L68" i="1"/>
  <c r="K87" i="1"/>
  <c r="L87" i="1" s="1"/>
  <c r="K86" i="1"/>
  <c r="L86" i="1" s="1"/>
  <c r="K83" i="1"/>
  <c r="L83" i="1" s="1"/>
  <c r="K82" i="1"/>
  <c r="L82" i="1" s="1"/>
  <c r="K79" i="1"/>
  <c r="L79" i="1" s="1"/>
  <c r="K76" i="1"/>
  <c r="O72" i="1"/>
  <c r="L72" i="1"/>
  <c r="J72" i="1"/>
  <c r="O71" i="1"/>
  <c r="L71" i="1"/>
  <c r="J71" i="1"/>
  <c r="K78" i="1"/>
  <c r="L78" i="1" s="1"/>
  <c r="H67" i="1"/>
  <c r="K66" i="1"/>
  <c r="L66" i="1" s="1"/>
  <c r="O65" i="1"/>
  <c r="K63" i="1"/>
  <c r="L63" i="1" s="1"/>
  <c r="O62" i="1"/>
  <c r="O59" i="1"/>
  <c r="L59" i="1"/>
  <c r="J59" i="1"/>
  <c r="O58" i="1"/>
  <c r="L58" i="1"/>
  <c r="J58" i="1"/>
  <c r="O57" i="1"/>
  <c r="L57" i="1"/>
  <c r="K56" i="1" s="1"/>
  <c r="L56" i="1" s="1"/>
  <c r="J57" i="1"/>
  <c r="O56" i="1"/>
  <c r="H56" i="1"/>
  <c r="K48" i="1"/>
  <c r="K47" i="1"/>
  <c r="L47" i="1" s="1"/>
  <c r="K46" i="1"/>
  <c r="O44" i="1"/>
  <c r="K43" i="1"/>
  <c r="L43" i="1" s="1"/>
  <c r="K42" i="1"/>
  <c r="K39" i="1"/>
  <c r="L39" i="1" s="1"/>
  <c r="K38" i="1"/>
  <c r="K37" i="1"/>
  <c r="O34" i="1"/>
  <c r="L34" i="1"/>
  <c r="J34" i="1"/>
  <c r="O33" i="1"/>
  <c r="L33" i="1"/>
  <c r="J33" i="1"/>
  <c r="O32" i="1"/>
  <c r="L32" i="1"/>
  <c r="J32" i="1"/>
  <c r="O31" i="1"/>
  <c r="L31" i="1"/>
  <c r="J31" i="1"/>
  <c r="O30" i="1"/>
  <c r="H30" i="1"/>
  <c r="J30" i="1" s="1"/>
  <c r="P29" i="1"/>
  <c r="Q29" i="1" s="1"/>
  <c r="O29" i="1"/>
  <c r="K29" i="1"/>
  <c r="L29" i="1" s="1"/>
  <c r="J29" i="1"/>
  <c r="O28" i="1"/>
  <c r="K28" i="1"/>
  <c r="L28" i="1" s="1"/>
  <c r="J28" i="1"/>
  <c r="O27" i="1"/>
  <c r="H27" i="1"/>
  <c r="P26" i="1"/>
  <c r="Q26" i="1" s="1"/>
  <c r="O26" i="1"/>
  <c r="K26" i="1"/>
  <c r="J26" i="1"/>
  <c r="P25" i="1"/>
  <c r="O25" i="1"/>
  <c r="K25" i="1"/>
  <c r="T25" i="1" s="1"/>
  <c r="J25" i="1"/>
  <c r="P24" i="1"/>
  <c r="Q24" i="1" s="1"/>
  <c r="O24" i="1"/>
  <c r="K24" i="1"/>
  <c r="L24" i="1" s="1"/>
  <c r="J24" i="1"/>
  <c r="O23" i="1"/>
  <c r="I23" i="1"/>
  <c r="I22" i="1" s="1"/>
  <c r="H23" i="1"/>
  <c r="O22" i="1"/>
  <c r="P21" i="1"/>
  <c r="Q21" i="1" s="1"/>
  <c r="O21" i="1"/>
  <c r="K21" i="1"/>
  <c r="J21" i="1"/>
  <c r="P20" i="1"/>
  <c r="Q20" i="1" s="1"/>
  <c r="O20" i="1"/>
  <c r="K20" i="1"/>
  <c r="J20" i="1"/>
  <c r="P19" i="1"/>
  <c r="O19" i="1"/>
  <c r="K19" i="1"/>
  <c r="J19" i="1"/>
  <c r="O18" i="1"/>
  <c r="H18" i="1"/>
  <c r="J18" i="1" s="1"/>
  <c r="P17" i="1"/>
  <c r="O17" i="1"/>
  <c r="K17" i="1"/>
  <c r="J17" i="1"/>
  <c r="P16" i="1"/>
  <c r="O16" i="1"/>
  <c r="K16" i="1"/>
  <c r="L16" i="1" s="1"/>
  <c r="J16" i="1"/>
  <c r="O15" i="1"/>
  <c r="I15" i="1"/>
  <c r="H15" i="1"/>
  <c r="J15" i="1" s="1"/>
  <c r="O14" i="1"/>
  <c r="P13" i="1"/>
  <c r="O13" i="1"/>
  <c r="K13" i="1"/>
  <c r="L13" i="1" s="1"/>
  <c r="J13" i="1"/>
  <c r="P12" i="1"/>
  <c r="O12" i="1"/>
  <c r="K12" i="1"/>
  <c r="J12" i="1"/>
  <c r="O11" i="1"/>
  <c r="H11" i="1"/>
  <c r="J11" i="1" s="1"/>
  <c r="P10" i="1"/>
  <c r="Q10" i="1" s="1"/>
  <c r="O10" i="1"/>
  <c r="K10" i="1"/>
  <c r="J10" i="1"/>
  <c r="P9" i="1"/>
  <c r="O9" i="1"/>
  <c r="K9" i="1"/>
  <c r="J9" i="1"/>
  <c r="O8" i="1"/>
  <c r="H8" i="1"/>
  <c r="J8" i="1" s="1"/>
  <c r="P7" i="1"/>
  <c r="O7" i="1"/>
  <c r="K7" i="1"/>
  <c r="L7" i="1" s="1"/>
  <c r="J7" i="1"/>
  <c r="P6" i="1"/>
  <c r="Q6" i="1" s="1"/>
  <c r="O6" i="1"/>
  <c r="K6" i="1"/>
  <c r="J6" i="1"/>
  <c r="O5" i="1"/>
  <c r="J5" i="1"/>
  <c r="O4" i="1"/>
  <c r="U59" i="1" l="1" a="1"/>
  <c r="U59" i="1" s="1"/>
  <c r="Q68" i="1"/>
  <c r="T68" i="1"/>
  <c r="T39" i="1"/>
  <c r="T19" i="1"/>
  <c r="T38" i="1"/>
  <c r="T43" i="1"/>
  <c r="T12" i="1"/>
  <c r="T17" i="1"/>
  <c r="T47" i="1"/>
  <c r="T58" i="1"/>
  <c r="T46" i="1"/>
  <c r="T57" i="1"/>
  <c r="T66" i="1"/>
  <c r="U66" i="1" s="1" a="1"/>
  <c r="U66" i="1" s="1"/>
  <c r="T71" i="1"/>
  <c r="T13" i="1"/>
  <c r="T28" i="1"/>
  <c r="T9" i="1"/>
  <c r="T16" i="1"/>
  <c r="T48" i="1"/>
  <c r="T21" i="1"/>
  <c r="T41" i="1"/>
  <c r="T76" i="1"/>
  <c r="T37" i="1"/>
  <c r="T72" i="1"/>
  <c r="T87" i="1"/>
  <c r="T83" i="1"/>
  <c r="T82" i="1"/>
  <c r="U82" i="1" s="1" a="1"/>
  <c r="U82" i="1" s="1"/>
  <c r="T10" i="1"/>
  <c r="T20" i="1"/>
  <c r="T34" i="1"/>
  <c r="U34" i="1" s="1" a="1"/>
  <c r="U34" i="1" s="1"/>
  <c r="T33" i="1"/>
  <c r="U33" i="1" s="1" a="1"/>
  <c r="U33" i="1" s="1"/>
  <c r="T86" i="1"/>
  <c r="T29" i="1"/>
  <c r="T63" i="1"/>
  <c r="T26" i="1"/>
  <c r="T79" i="1"/>
  <c r="T7" i="1"/>
  <c r="T78" i="1"/>
  <c r="T42" i="1"/>
  <c r="T24" i="1"/>
  <c r="T6" i="1"/>
  <c r="T59" i="1"/>
  <c r="S72" i="1"/>
  <c r="U72" i="1" s="1" a="1"/>
  <c r="U72" i="1" s="1"/>
  <c r="S83" i="1"/>
  <c r="Q71" i="1"/>
  <c r="S71" i="1"/>
  <c r="U71" i="1" s="1" a="1"/>
  <c r="U71" i="1" s="1"/>
  <c r="S68" i="1"/>
  <c r="U68" i="1" s="1" a="1"/>
  <c r="U68" i="1" s="1"/>
  <c r="Q57" i="1"/>
  <c r="Q59" i="1"/>
  <c r="S57" i="1"/>
  <c r="Q58" i="1"/>
  <c r="S58" i="1"/>
  <c r="Q34" i="1"/>
  <c r="S39" i="1"/>
  <c r="U39" i="1" s="1" a="1"/>
  <c r="U39" i="1" s="1"/>
  <c r="S37" i="1"/>
  <c r="Q32" i="1"/>
  <c r="S32" i="1"/>
  <c r="U32" i="1" s="1" a="1"/>
  <c r="U32" i="1" s="1"/>
  <c r="S38" i="1"/>
  <c r="Q33" i="1"/>
  <c r="P77" i="1"/>
  <c r="Q31" i="1"/>
  <c r="S31" i="1"/>
  <c r="U31" i="1" s="1" a="1"/>
  <c r="U31" i="1" s="1"/>
  <c r="S36" i="1"/>
  <c r="P81" i="1"/>
  <c r="P84" i="1"/>
  <c r="Q75" i="1"/>
  <c r="P74" i="1" s="1"/>
  <c r="Q70" i="1"/>
  <c r="Q69" i="1"/>
  <c r="Q66" i="1"/>
  <c r="P73" i="1" s="1"/>
  <c r="Q65" i="1"/>
  <c r="Q62" i="1"/>
  <c r="P61" i="1" s="1"/>
  <c r="Q55" i="1"/>
  <c r="Q54" i="1"/>
  <c r="Q52" i="1"/>
  <c r="Q51" i="1"/>
  <c r="Q47" i="1"/>
  <c r="Q46" i="1"/>
  <c r="Q45" i="1"/>
  <c r="Q43" i="1"/>
  <c r="Q41" i="1"/>
  <c r="Q39" i="1"/>
  <c r="Q38" i="1"/>
  <c r="J4" i="1"/>
  <c r="H14" i="1"/>
  <c r="J14" i="1" s="1"/>
  <c r="J64" i="1"/>
  <c r="I80" i="1"/>
  <c r="K30" i="1"/>
  <c r="H22" i="1"/>
  <c r="J22" i="1" s="1"/>
  <c r="J23" i="1"/>
  <c r="J80" i="1"/>
  <c r="I35" i="1"/>
  <c r="K77" i="1"/>
  <c r="K81" i="1"/>
  <c r="L81" i="1" s="1"/>
  <c r="L76" i="1"/>
  <c r="K74" i="1" s="1"/>
  <c r="L48" i="1"/>
  <c r="L46" i="1"/>
  <c r="L42" i="1"/>
  <c r="L38" i="1"/>
  <c r="L37" i="1"/>
  <c r="S17" i="1"/>
  <c r="U17" i="1" s="1" a="1"/>
  <c r="U17" i="1" s="1"/>
  <c r="S52" i="1"/>
  <c r="U52" i="1" s="1" a="1"/>
  <c r="U52" i="1" s="1"/>
  <c r="S44" i="1"/>
  <c r="S25" i="1"/>
  <c r="U25" i="1" s="1" a="1"/>
  <c r="U25" i="1" s="1"/>
  <c r="S48" i="1"/>
  <c r="S46" i="1"/>
  <c r="S47" i="1"/>
  <c r="S26" i="1"/>
  <c r="U26" i="1" s="1" a="1"/>
  <c r="U26" i="1" s="1"/>
  <c r="K27" i="1"/>
  <c r="L27" i="1" s="1"/>
  <c r="S63" i="1"/>
  <c r="S12" i="1"/>
  <c r="S7" i="1"/>
  <c r="Q16" i="1"/>
  <c r="S21" i="1"/>
  <c r="U21" i="1" s="1" a="1"/>
  <c r="U21" i="1" s="1"/>
  <c r="Q25" i="1"/>
  <c r="P23" i="1" s="1"/>
  <c r="S42" i="1"/>
  <c r="U42" i="1" s="1" a="1"/>
  <c r="U42" i="1" s="1"/>
  <c r="S87" i="1"/>
  <c r="U87" i="1" s="1" a="1"/>
  <c r="U87" i="1" s="1"/>
  <c r="S77" i="1"/>
  <c r="S80" i="1"/>
  <c r="S10" i="1"/>
  <c r="U10" i="1" s="1" a="1"/>
  <c r="U10" i="1" s="1"/>
  <c r="S19" i="1"/>
  <c r="U19" i="1" s="1" a="1"/>
  <c r="U19" i="1" s="1"/>
  <c r="S86" i="1"/>
  <c r="U86" i="1" s="1" a="1"/>
  <c r="U86" i="1" s="1"/>
  <c r="S20" i="1"/>
  <c r="L30" i="1"/>
  <c r="S51" i="1"/>
  <c r="U51" i="1" s="1" a="1"/>
  <c r="U51" i="1" s="1"/>
  <c r="Q28" i="1"/>
  <c r="P27" i="1" s="1"/>
  <c r="S28" i="1"/>
  <c r="S74" i="1"/>
  <c r="L12" i="1"/>
  <c r="K11" i="1" s="1"/>
  <c r="L10" i="1"/>
  <c r="L17" i="1"/>
  <c r="K15" i="1" s="1"/>
  <c r="J27" i="1"/>
  <c r="S29" i="1"/>
  <c r="U29" i="1" s="1" a="1"/>
  <c r="U29" i="1" s="1"/>
  <c r="Q13" i="1"/>
  <c r="J56" i="1"/>
  <c r="L25" i="1"/>
  <c r="S53" i="1"/>
  <c r="Q9" i="1"/>
  <c r="P8" i="1" s="1"/>
  <c r="L21" i="1"/>
  <c r="S43" i="1"/>
  <c r="U43" i="1" s="1" a="1"/>
  <c r="U43" i="1" s="1"/>
  <c r="Q19" i="1"/>
  <c r="P18" i="1" s="1"/>
  <c r="L6" i="1"/>
  <c r="K5" i="1" s="1"/>
  <c r="Q12" i="1"/>
  <c r="L19" i="1"/>
  <c r="J53" i="1"/>
  <c r="S79" i="1"/>
  <c r="U79" i="1" s="1" a="1"/>
  <c r="U79" i="1" s="1"/>
  <c r="K55" i="1"/>
  <c r="Q17" i="1"/>
  <c r="S61" i="1"/>
  <c r="S13" i="1"/>
  <c r="U13" i="1" s="1" a="1"/>
  <c r="U13" i="1" s="1"/>
  <c r="S6" i="1"/>
  <c r="U6" i="1" s="1" a="1"/>
  <c r="U6" i="1" s="1"/>
  <c r="S60" i="1"/>
  <c r="K65" i="1"/>
  <c r="L65" i="1" s="1"/>
  <c r="K64" i="1" s="1"/>
  <c r="L20" i="1"/>
  <c r="S16" i="1"/>
  <c r="U16" i="1" s="1" a="1"/>
  <c r="U16" i="1" s="1"/>
  <c r="S9" i="1"/>
  <c r="U9" i="1" s="1" a="1"/>
  <c r="U9" i="1" s="1"/>
  <c r="Q7" i="1"/>
  <c r="P5" i="1" s="1"/>
  <c r="L9" i="1"/>
  <c r="S24" i="1"/>
  <c r="L26" i="1"/>
  <c r="U38" i="1" l="1" a="1"/>
  <c r="U38" i="1" s="1"/>
  <c r="U7" i="1" a="1"/>
  <c r="U7" i="1" s="1"/>
  <c r="U83" i="1" a="1"/>
  <c r="U83" i="1" s="1"/>
  <c r="U12" i="1" a="1"/>
  <c r="U12" i="1" s="1"/>
  <c r="U74" i="1" a="1"/>
  <c r="U74" i="1" s="1"/>
  <c r="U63" i="1" a="1"/>
  <c r="U63" i="1" s="1"/>
  <c r="U37" i="1" a="1"/>
  <c r="U37" i="1" s="1"/>
  <c r="U28" i="1" a="1"/>
  <c r="U28" i="1" s="1"/>
  <c r="U47" i="1" a="1"/>
  <c r="U47" i="1" s="1"/>
  <c r="U58" i="1" a="1"/>
  <c r="U58" i="1" s="1"/>
  <c r="U46" i="1" a="1"/>
  <c r="U46" i="1" s="1"/>
  <c r="U24" i="1" a="1"/>
  <c r="U24" i="1" s="1"/>
  <c r="U20" i="1" a="1"/>
  <c r="U20" i="1" s="1"/>
  <c r="U48" i="1" a="1"/>
  <c r="U48" i="1" s="1"/>
  <c r="U57" i="1" a="1"/>
  <c r="U57" i="1" s="1"/>
  <c r="T74" i="1"/>
  <c r="Q81" i="1"/>
  <c r="T81" i="1"/>
  <c r="Q5" i="1"/>
  <c r="T5" i="1"/>
  <c r="Q23" i="1"/>
  <c r="T77" i="1"/>
  <c r="U77" i="1" s="1" a="1"/>
  <c r="U77" i="1" s="1"/>
  <c r="T27" i="1"/>
  <c r="L55" i="1"/>
  <c r="K53" i="1" s="1"/>
  <c r="T55" i="1"/>
  <c r="T8" i="1"/>
  <c r="T65" i="1"/>
  <c r="P56" i="1"/>
  <c r="P50" i="1"/>
  <c r="P53" i="1"/>
  <c r="P64" i="1"/>
  <c r="T64" i="1" s="1"/>
  <c r="P30" i="1"/>
  <c r="P36" i="1"/>
  <c r="Q73" i="1"/>
  <c r="P40" i="1"/>
  <c r="L64" i="1"/>
  <c r="K36" i="1"/>
  <c r="P15" i="1"/>
  <c r="K23" i="1"/>
  <c r="S23" i="1" s="1"/>
  <c r="Q18" i="1"/>
  <c r="J73" i="1"/>
  <c r="J74" i="1"/>
  <c r="K18" i="1"/>
  <c r="T18" i="1" s="1"/>
  <c r="P11" i="1"/>
  <c r="T11" i="1" s="1"/>
  <c r="L15" i="1"/>
  <c r="K45" i="1"/>
  <c r="K62" i="1"/>
  <c r="K70" i="1"/>
  <c r="S64" i="1"/>
  <c r="U64" i="1" s="1" a="1"/>
  <c r="U64" i="1" s="1"/>
  <c r="S5" i="1"/>
  <c r="L5" i="1"/>
  <c r="S76" i="1"/>
  <c r="U76" i="1" s="1" a="1"/>
  <c r="U76" i="1" s="1"/>
  <c r="J60" i="1"/>
  <c r="J61" i="1"/>
  <c r="Q8" i="1"/>
  <c r="L11" i="1"/>
  <c r="K85" i="1"/>
  <c r="Q27" i="1"/>
  <c r="K8" i="1"/>
  <c r="S27" i="1"/>
  <c r="U27" i="1" s="1" a="1"/>
  <c r="U27" i="1" s="1"/>
  <c r="U5" i="1" l="1" a="1"/>
  <c r="U5" i="1" s="1"/>
  <c r="T23" i="1"/>
  <c r="U23" i="1" s="1" a="1"/>
  <c r="U23" i="1" s="1"/>
  <c r="Q40" i="1"/>
  <c r="L85" i="1"/>
  <c r="K84" i="1" s="1"/>
  <c r="T84" i="1" s="1"/>
  <c r="T85" i="1"/>
  <c r="S35" i="1"/>
  <c r="T30" i="1"/>
  <c r="L62" i="1"/>
  <c r="K61" i="1" s="1"/>
  <c r="T61" i="1" s="1"/>
  <c r="U61" i="1" s="1" a="1"/>
  <c r="U61" i="1" s="1"/>
  <c r="T62" i="1"/>
  <c r="Q36" i="1"/>
  <c r="T36" i="1"/>
  <c r="U36" i="1" s="1" a="1"/>
  <c r="U36" i="1" s="1"/>
  <c r="L70" i="1"/>
  <c r="T70" i="1"/>
  <c r="T53" i="1"/>
  <c r="U53" i="1" s="1" a="1"/>
  <c r="U53" i="1" s="1"/>
  <c r="L45" i="1"/>
  <c r="T45" i="1"/>
  <c r="Q15" i="1"/>
  <c r="P14" i="1" s="1"/>
  <c r="T15" i="1"/>
  <c r="Q50" i="1"/>
  <c r="T50" i="1"/>
  <c r="S65" i="1"/>
  <c r="U65" i="1" s="1" a="1"/>
  <c r="U65" i="1" s="1"/>
  <c r="T56" i="1"/>
  <c r="Q64" i="1"/>
  <c r="Q56" i="1"/>
  <c r="S56" i="1"/>
  <c r="U56" i="1" s="1" a="1"/>
  <c r="U56" i="1" s="1"/>
  <c r="S30" i="1"/>
  <c r="U30" i="1" s="1" a="1"/>
  <c r="U30" i="1" s="1"/>
  <c r="S75" i="1"/>
  <c r="U75" i="1" s="1" a="1"/>
  <c r="U75" i="1" s="1"/>
  <c r="Q30" i="1"/>
  <c r="P22" i="1" s="1"/>
  <c r="Q74" i="1"/>
  <c r="L50" i="1"/>
  <c r="L36" i="1"/>
  <c r="S41" i="1"/>
  <c r="U41" i="1" s="1" a="1"/>
  <c r="U41" i="1" s="1"/>
  <c r="K40" i="1"/>
  <c r="T40" i="1" s="1"/>
  <c r="S15" i="1"/>
  <c r="U15" i="1" s="1" a="1"/>
  <c r="U15" i="1" s="1"/>
  <c r="L23" i="1"/>
  <c r="S55" i="1"/>
  <c r="U55" i="1" s="1" a="1"/>
  <c r="U55" i="1" s="1"/>
  <c r="Q11" i="1"/>
  <c r="P4" i="1" s="1"/>
  <c r="S81" i="1"/>
  <c r="U81" i="1" s="1" a="1"/>
  <c r="U81" i="1" s="1"/>
  <c r="S73" i="1"/>
  <c r="S18" i="1"/>
  <c r="U18" i="1" s="1" a="1"/>
  <c r="U18" i="1" s="1"/>
  <c r="L18" i="1"/>
  <c r="K14" i="1" s="1"/>
  <c r="S8" i="1"/>
  <c r="U8" i="1" s="1" a="1"/>
  <c r="U8" i="1" s="1"/>
  <c r="L8" i="1"/>
  <c r="K4" i="1" s="1"/>
  <c r="L74" i="1"/>
  <c r="J84" i="1"/>
  <c r="I3" i="1"/>
  <c r="S11" i="1"/>
  <c r="U11" i="1" s="1" a="1"/>
  <c r="U11" i="1" s="1"/>
  <c r="S50" i="1"/>
  <c r="U50" i="1" s="1" a="1"/>
  <c r="U50" i="1" s="1"/>
  <c r="K49" i="1"/>
  <c r="Q14" i="1" l="1"/>
  <c r="T14" i="1"/>
  <c r="L49" i="1"/>
  <c r="K44" i="1" s="1"/>
  <c r="T49" i="1"/>
  <c r="Q22" i="1"/>
  <c r="T4" i="1"/>
  <c r="Q4" i="1"/>
  <c r="P44" i="1"/>
  <c r="L84" i="1"/>
  <c r="K80" i="1" s="1"/>
  <c r="L40" i="1"/>
  <c r="S45" i="1"/>
  <c r="U45" i="1" s="1" a="1"/>
  <c r="U45" i="1" s="1"/>
  <c r="K22" i="1"/>
  <c r="S14" i="1"/>
  <c r="U14" i="1" s="1" a="1"/>
  <c r="U14" i="1" s="1"/>
  <c r="L14" i="1"/>
  <c r="S4" i="1"/>
  <c r="U4" i="1" s="1" a="1"/>
  <c r="U4" i="1" s="1"/>
  <c r="L4" i="1"/>
  <c r="S85" i="1"/>
  <c r="U85" i="1" s="1" a="1"/>
  <c r="U85" i="1" s="1"/>
  <c r="S54" i="1"/>
  <c r="U54" i="1" s="1" a="1"/>
  <c r="U54" i="1" s="1"/>
  <c r="L61" i="1"/>
  <c r="T22" i="1" l="1"/>
  <c r="Q44" i="1"/>
  <c r="T44" i="1"/>
  <c r="U44" i="1" s="1" a="1"/>
  <c r="U44" i="1" s="1"/>
  <c r="L22" i="1"/>
  <c r="S22" i="1"/>
  <c r="U22" i="1" s="1" a="1"/>
  <c r="U22" i="1" s="1"/>
  <c r="L80" i="1"/>
  <c r="Q53" i="1" l="1"/>
  <c r="Q61" i="1" s="1"/>
  <c r="P35" i="1" l="1"/>
  <c r="S70" i="1"/>
  <c r="U70" i="1" s="1" a="1"/>
  <c r="U70" i="1" s="1"/>
  <c r="L53" i="1"/>
  <c r="L44" i="1"/>
  <c r="S49" i="1"/>
  <c r="U49" i="1" s="1" a="1"/>
  <c r="U49" i="1" s="1"/>
  <c r="Q35" i="1" l="1"/>
  <c r="K35" i="1"/>
  <c r="S40" i="1" s="1"/>
  <c r="U40" i="1" s="1" a="1"/>
  <c r="U40" i="1" s="1"/>
  <c r="S62" i="1"/>
  <c r="U62" i="1" s="1" a="1"/>
  <c r="U62" i="1" s="1"/>
  <c r="T35" i="1" l="1"/>
  <c r="U35" i="1" s="1" a="1"/>
  <c r="U35" i="1" s="1"/>
  <c r="L35" i="1"/>
  <c r="K67" i="1"/>
  <c r="L67" i="1" s="1"/>
  <c r="K60" i="1" s="1"/>
  <c r="L60" i="1" s="1"/>
  <c r="L77" i="1" l="1"/>
  <c r="K73" i="1" s="1"/>
  <c r="T73" i="1" s="1"/>
  <c r="U73" i="1" s="1" a="1"/>
  <c r="U73" i="1" s="1"/>
  <c r="L73" i="1" l="1"/>
  <c r="K3" i="1" s="1"/>
  <c r="S84" i="1"/>
  <c r="U84" i="1" s="1" a="1"/>
  <c r="U84" i="1" s="1"/>
  <c r="L3" i="1" l="1"/>
  <c r="J40" i="1"/>
  <c r="J44" i="1"/>
  <c r="J36" i="1"/>
  <c r="H35" i="1" l="1"/>
  <c r="J35" i="1" l="1"/>
  <c r="H3" i="1"/>
  <c r="J3" i="1" s="1"/>
  <c r="O3" i="1"/>
  <c r="P67" i="1"/>
  <c r="S78" i="1" l="1"/>
  <c r="U78" i="1" s="1" a="1"/>
  <c r="U78" i="1" s="1"/>
  <c r="T67" i="1"/>
  <c r="U67" i="1" s="1" a="1"/>
  <c r="U67" i="1" s="1"/>
  <c r="Q67" i="1"/>
  <c r="P60" i="1" l="1"/>
  <c r="T60" i="1" s="1"/>
  <c r="U60" i="1" s="1" a="1"/>
  <c r="U60" i="1" s="1"/>
  <c r="Q77" i="1"/>
  <c r="S69" i="1" l="1"/>
  <c r="U69" i="1" s="1" a="1"/>
  <c r="U69" i="1" s="1"/>
  <c r="Q60" i="1"/>
  <c r="Q84" i="1" l="1"/>
  <c r="P80" i="1" s="1"/>
  <c r="Q80" i="1" l="1"/>
  <c r="P3" i="1" s="1"/>
  <c r="T3" i="1" s="1"/>
  <c r="T80" i="1"/>
  <c r="U80" i="1" s="1" a="1"/>
  <c r="U80" i="1" s="1"/>
  <c r="S3" i="1"/>
  <c r="U3" i="1" s="1" a="1"/>
  <c r="U3" i="1" s="1"/>
  <c r="Q3" i="1"/>
</calcChain>
</file>

<file path=xl/sharedStrings.xml><?xml version="1.0" encoding="utf-8"?>
<sst xmlns="http://schemas.openxmlformats.org/spreadsheetml/2006/main" count="305" uniqueCount="173">
  <si>
    <t>업무 구분</t>
  </si>
  <si>
    <t>수준</t>
  </si>
  <si>
    <t>최하위</t>
  </si>
  <si>
    <t>가중치</t>
  </si>
  <si>
    <t>선행
업무</t>
  </si>
  <si>
    <t>산출물</t>
  </si>
  <si>
    <t>자원이름
(담당자)</t>
  </si>
  <si>
    <t>계획</t>
  </si>
  <si>
    <t>실적</t>
  </si>
  <si>
    <t>지연업무
Catch-Up</t>
  </si>
  <si>
    <t>차이(완료율)
계획-실적</t>
  </si>
  <si>
    <t>달성률</t>
  </si>
  <si>
    <t>진행
상태</t>
  </si>
  <si>
    <t>시작
일자</t>
  </si>
  <si>
    <t>완료
일자</t>
  </si>
  <si>
    <t>기간</t>
  </si>
  <si>
    <t>완료율</t>
  </si>
  <si>
    <t>가중치
완료</t>
  </si>
  <si>
    <t>차량 흐름 분석 시스템 구축</t>
  </si>
  <si>
    <t>N</t>
  </si>
  <si>
    <t>1. 프로젝트 관리</t>
  </si>
  <si>
    <t>1.1. 프로젝트 착수</t>
  </si>
  <si>
    <t>프로젝트 수행계획서 작성</t>
  </si>
  <si>
    <t>Y</t>
  </si>
  <si>
    <t>프로젝트 수행계획서</t>
  </si>
  <si>
    <t>전보경(PM)</t>
  </si>
  <si>
    <t>킥오프 미팅 진행</t>
  </si>
  <si>
    <t>킥오프 회의록</t>
  </si>
  <si>
    <t>전보경, 전원</t>
  </si>
  <si>
    <t>1.2. 일정·범위 관리</t>
  </si>
  <si>
    <t>WBS 작성 및 확정</t>
  </si>
  <si>
    <t>WBS</t>
  </si>
  <si>
    <t>주간 진행 모니터링</t>
  </si>
  <si>
    <t>주간 진행 현황</t>
  </si>
  <si>
    <t>1.3. 의사소통·이슈 관리</t>
  </si>
  <si>
    <t>주간 진행 공유</t>
  </si>
  <si>
    <t>주간 보고서</t>
  </si>
  <si>
    <t>이슈 및 위험 관리</t>
  </si>
  <si>
    <t>이슈 관리 대장</t>
  </si>
  <si>
    <t>2. 분석 단계</t>
  </si>
  <si>
    <t>2.1. 요구사항 정의</t>
  </si>
  <si>
    <t>요구사항 수집 및 분석</t>
  </si>
  <si>
    <t>요구사항 정의서</t>
  </si>
  <si>
    <t>UI 프로토타입 정의</t>
  </si>
  <si>
    <t>UI 프로토타입</t>
  </si>
  <si>
    <t>최동윤, 박지영</t>
  </si>
  <si>
    <t>2.2. 시스템 설계</t>
  </si>
  <si>
    <t>시스템 아키텍처 정의</t>
  </si>
  <si>
    <t>아키텍처 정의서</t>
  </si>
  <si>
    <t>전보경, 김승민</t>
  </si>
  <si>
    <t>API 명세 초안 작성</t>
  </si>
  <si>
    <t>API 명세서(초안)</t>
  </si>
  <si>
    <t>김승민, 박재웅</t>
  </si>
  <si>
    <t>DB 설계서 작성</t>
  </si>
  <si>
    <t>전보경, 박지영</t>
  </si>
  <si>
    <t>3. AI 서버 개발</t>
  </si>
  <si>
    <t>3.1. YOLO 차량 탐지 구현</t>
  </si>
  <si>
    <t>YOLO 모델 환경 구성</t>
  </si>
  <si>
    <t>환경 구성 문서</t>
  </si>
  <si>
    <t>박재웅, 최동윤·박지영</t>
  </si>
  <si>
    <t>차량 탐지 로직 구현</t>
  </si>
  <si>
    <t>탐지 모듈 소스</t>
  </si>
  <si>
    <t>탐지 결과 FastAPI 연동</t>
  </si>
  <si>
    <t>FastAPI 서버 소스</t>
  </si>
  <si>
    <t>3.2. OCR 번호판 인식 구현</t>
  </si>
  <si>
    <t>OCR 라이브러리 적용</t>
  </si>
  <si>
    <t>OCR 모듈 소스</t>
  </si>
  <si>
    <t>인식 결과 후처리 로직</t>
  </si>
  <si>
    <t>OCR 소스(완성)</t>
  </si>
  <si>
    <t>3.3. 속도 감지 기능 구현</t>
  </si>
  <si>
    <t>가상 라인 A/B 설정 로직 구현</t>
  </si>
  <si>
    <t>가상 라인 설정 소스</t>
  </si>
  <si>
    <t>박재웅</t>
  </si>
  <si>
    <t>YOLO Tracking 동일 차량 추적</t>
  </si>
  <si>
    <t>Tracking 소스</t>
  </si>
  <si>
    <t>속도 계산 및 위반 판정 로직</t>
  </si>
  <si>
    <t>속도 계산 소스</t>
  </si>
  <si>
    <t>위반 차량 OCR 집중 처리 연동</t>
  </si>
  <si>
    <t>OCR 연동 소스</t>
  </si>
  <si>
    <t>4. 백엔드 개발</t>
  </si>
  <si>
    <t>4.1. 초기 구축 및 DB 연동</t>
  </si>
  <si>
    <t>Spring Boot 프로젝트 세팅</t>
  </si>
  <si>
    <t>초기 프로젝트 소스</t>
  </si>
  <si>
    <t>JPA Entity·Repository 구현</t>
  </si>
  <si>
    <t>Entity 소스</t>
  </si>
  <si>
    <t>DB 연결 및 기본 CRUD 검증</t>
  </si>
  <si>
    <t>CRUD 테스트 결과</t>
  </si>
  <si>
    <t>4.2. Detection API 개발</t>
  </si>
  <si>
    <t>DTO·Validation 처리</t>
  </si>
  <si>
    <t>DTO 소스</t>
  </si>
  <si>
    <t>감지 데이터 저장 로직</t>
  </si>
  <si>
    <t>저장 로직 소스</t>
  </si>
  <si>
    <t>흐름 분석 서비스 연동</t>
  </si>
  <si>
    <t>흐름분석 소스</t>
  </si>
  <si>
    <t>4.3.   회원·게시판 기능 개발</t>
  </si>
  <si>
    <t>회원가입 기능 구현</t>
  </si>
  <si>
    <t>회원가입 소스</t>
  </si>
  <si>
    <t>로그인 기능 구현</t>
  </si>
  <si>
    <t>로그인 소스</t>
  </si>
  <si>
    <t>공지사항 기능 구현</t>
  </si>
  <si>
    <t>공지사항 소스</t>
  </si>
  <si>
    <t>게시판·댓글 기능 구현</t>
  </si>
  <si>
    <t>게시판 소스</t>
  </si>
  <si>
    <t>Q&amp;A 기능 구현</t>
  </si>
  <si>
    <t>Q&amp;A 소스</t>
  </si>
  <si>
    <t>4.4. 중복 제거 로직</t>
  </si>
  <si>
    <t>중복 제거 알고리즘 구현</t>
  </si>
  <si>
    <t>중복제거 소스</t>
  </si>
  <si>
    <t>경계 조건 단위 테스트</t>
  </si>
  <si>
    <t>단위 테스트 결과</t>
  </si>
  <si>
    <t>4.5. WebSocket 실시간 처리</t>
  </si>
  <si>
    <t>WebSocket 이벤트 브로드캐스트</t>
  </si>
  <si>
    <t>WebSocket 소스</t>
  </si>
  <si>
    <t>연결 실패 Polling 폴백</t>
  </si>
  <si>
    <t>폴백 소스</t>
  </si>
  <si>
    <t>4.6. 속도위반 API 개발</t>
  </si>
  <si>
    <t>speed_violations 엔티티·Repository 구현</t>
  </si>
  <si>
    <t>김승민</t>
  </si>
  <si>
    <t>속도위반 조회·저장 API 개발</t>
  </si>
  <si>
    <t>속도위반 API 소스</t>
  </si>
  <si>
    <t>중복 방지 및 통합 테스트</t>
  </si>
  <si>
    <t>테스트 결과</t>
  </si>
  <si>
    <t>5. 프론트엔드 개발</t>
  </si>
  <si>
    <t>5.1. 기본 환경 구성</t>
  </si>
  <si>
    <t>Vue.js 프로젝트 세팅</t>
  </si>
  <si>
    <t>Vue 초기 소스</t>
  </si>
  <si>
    <t>라우팅·컴포넌트 구조 설계</t>
  </si>
  <si>
    <t>컴포넌트 설계서</t>
  </si>
  <si>
    <t>5.2. 실시간 대시보드 구현</t>
  </si>
  <si>
    <t>실시간 차량 현황 화면</t>
  </si>
  <si>
    <t>대시보드 소스</t>
  </si>
  <si>
    <t>WebSocket 클라이언트 연동</t>
  </si>
  <si>
    <t>WS 클라이언트 소스</t>
  </si>
  <si>
    <t>5.3. 통계·관리 화면 구현</t>
  </si>
  <si>
    <t>시간대별 통계 차트(Chart.js)</t>
  </si>
  <si>
    <t>차트 소스</t>
  </si>
  <si>
    <t>차량 번호판 검색 기능</t>
  </si>
  <si>
    <t>검색 소스</t>
  </si>
  <si>
    <t>관리자 페이지 개발</t>
  </si>
  <si>
    <t>관리자 소스</t>
  </si>
  <si>
    <t>속도위반 현황 대시보드</t>
  </si>
  <si>
    <t>속도위반 대시보드 소스</t>
  </si>
  <si>
    <t>최동윤</t>
  </si>
  <si>
    <t>실시간 속도 현황 차트</t>
  </si>
  <si>
    <t>속도 차트 소스</t>
  </si>
  <si>
    <t>6. 테스트</t>
  </si>
  <si>
    <t>6.1. 단위 테스트</t>
  </si>
  <si>
    <t>백엔드 단위 테스트</t>
  </si>
  <si>
    <t>단위 테스트 결과서</t>
  </si>
  <si>
    <t>AI 서버 단위 테스트</t>
  </si>
  <si>
    <t>6.2. 통합 테스트</t>
  </si>
  <si>
    <t>AI↔백엔드 통합 테스트</t>
  </si>
  <si>
    <t>통합 테스트 결과서</t>
  </si>
  <si>
    <t>전보경, 박재웅, 김승민</t>
  </si>
  <si>
    <t>프론트↔백엔드 통합 테스트</t>
  </si>
  <si>
    <t>전보경, 최동윤, 박지영</t>
  </si>
  <si>
    <t>7. 배포 및 준공</t>
  </si>
  <si>
    <t>7.1. Docker 배포</t>
  </si>
  <si>
    <t>Docker Compose 구성</t>
  </si>
  <si>
    <t>docker-compose.yml</t>
  </si>
  <si>
    <t>전체 서비스 통합 배포 검증</t>
  </si>
  <si>
    <t>배포 가이드</t>
  </si>
  <si>
    <t>7.2. 산출물 정리 및 발표 준비</t>
  </si>
  <si>
    <t>최종 산출물 정리</t>
  </si>
  <si>
    <t>전체 산출물</t>
  </si>
  <si>
    <t>완료보고서 작성</t>
  </si>
  <si>
    <t>완료보고서</t>
  </si>
  <si>
    <t>시연 및 최종 발표</t>
  </si>
  <si>
    <t>발표 자료, 시연 영상</t>
  </si>
  <si>
    <t>DB 설계서</t>
    <phoneticPr fontId="12" type="noConversion"/>
  </si>
  <si>
    <t>전보경·박지영</t>
    <phoneticPr fontId="12" type="noConversion"/>
  </si>
  <si>
    <t>박재웅</t>
    <phoneticPr fontId="12" type="noConversion"/>
  </si>
  <si>
    <t>박재웅, 전보경·박지영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</si>
</sst>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([$-412]ddd\)"/>
    <numFmt numFmtId="177" formatCode="General&quot;일&quot;"/>
  </numFmts>
  <fonts count="17">
    <font>
      <sz val="11"/>
      <color theme="1"/>
      <name val="Calibri"/>
      <family val="2"/>
      <charset val="1"/>
    </font>
    <font>
      <b/>
      <sz val="10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9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888888"/>
      <name val="맑은 고딕"/>
      <family val="3"/>
      <charset val="129"/>
    </font>
    <font>
      <sz val="9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sz val="8"/>
      <name val="돋움"/>
      <family val="3"/>
      <charset val="129"/>
    </font>
    <font>
      <sz val="10"/>
      <color rgb="FF000000"/>
      <name val="Noto Sans CJK SC"/>
      <family val="3"/>
      <charset val="129"/>
    </font>
    <font>
      <sz val="9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BD4B4"/>
        <bgColor rgb="FFD8D8D8"/>
      </patternFill>
    </fill>
    <fill>
      <patternFill patternType="solid">
        <fgColor rgb="FFB8CCE4"/>
        <bgColor rgb="FFB6DDE8"/>
      </patternFill>
    </fill>
    <fill>
      <patternFill patternType="solid">
        <fgColor rgb="FFB6DDE8"/>
        <bgColor rgb="FFB8CCE4"/>
      </patternFill>
    </fill>
    <fill>
      <patternFill patternType="solid">
        <fgColor rgb="FFD8D8D8"/>
        <bgColor rgb="FFB6DDE8"/>
      </patternFill>
    </fill>
    <fill>
      <patternFill patternType="solid">
        <fgColor rgb="FFC4BD97"/>
        <bgColor rgb="FFAAAAAA"/>
      </patternFill>
    </fill>
    <fill>
      <patternFill patternType="solid">
        <fgColor rgb="FF1F4E79"/>
        <bgColor rgb="FF003366"/>
      </patternFill>
    </fill>
    <fill>
      <patternFill patternType="solid">
        <fgColor rgb="FFEBF5FB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9DC3E6"/>
        <bgColor rgb="FFB8CCE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theme="2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9" fontId="7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 indent="4"/>
    </xf>
    <xf numFmtId="0" fontId="11" fillId="13" borderId="1" xfId="0" applyFont="1" applyFill="1" applyBorder="1" applyAlignment="1">
      <alignment horizontal="left" vertical="center" wrapText="1" indent="4"/>
    </xf>
    <xf numFmtId="0" fontId="10" fillId="13" borderId="1" xfId="0" applyFont="1" applyFill="1" applyBorder="1" applyAlignment="1">
      <alignment horizontal="left" vertical="center" wrapText="1" indent="4"/>
    </xf>
    <xf numFmtId="0" fontId="14" fillId="13" borderId="1" xfId="0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7" fontId="7" fillId="8" borderId="1" xfId="0" applyNumberFormat="1" applyFont="1" applyFill="1" applyBorder="1" applyAlignment="1">
      <alignment horizontal="center" vertical="center" wrapText="1"/>
    </xf>
    <xf numFmtId="10" fontId="7" fillId="8" borderId="1" xfId="0" applyNumberFormat="1" applyFont="1" applyFill="1" applyBorder="1" applyAlignment="1">
      <alignment horizontal="center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 wrapText="1"/>
    </xf>
    <xf numFmtId="177" fontId="8" fillId="9" borderId="1" xfId="0" applyNumberFormat="1" applyFont="1" applyFill="1" applyBorder="1" applyAlignment="1">
      <alignment horizontal="center" vertical="center" wrapText="1"/>
    </xf>
    <xf numFmtId="10" fontId="8" fillId="9" borderId="1" xfId="0" applyNumberFormat="1" applyFont="1" applyFill="1" applyBorder="1" applyAlignment="1">
      <alignment horizontal="center" vertical="center" wrapText="1"/>
    </xf>
    <xf numFmtId="2" fontId="7" fillId="15" borderId="1" xfId="0" applyNumberFormat="1" applyFont="1" applyFill="1" applyBorder="1" applyAlignment="1">
      <alignment horizontal="center" vertical="center" wrapText="1"/>
    </xf>
    <xf numFmtId="10" fontId="7" fillId="15" borderId="1" xfId="0" applyNumberFormat="1" applyFont="1" applyFill="1" applyBorder="1" applyAlignment="1">
      <alignment horizontal="center" vertical="center" wrapText="1"/>
    </xf>
    <xf numFmtId="10" fontId="7" fillId="10" borderId="1" xfId="0" applyNumberFormat="1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left" vertical="center"/>
    </xf>
    <xf numFmtId="0" fontId="16" fillId="13" borderId="7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88888"/>
      <rgbColor rgb="FF9999FF"/>
      <rgbColor rgb="FF993366"/>
      <rgbColor rgb="FFFFF2CC"/>
      <rgbColor rgb="FFEBF5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B6DDE8"/>
      <rgbColor rgb="FFD8D8D8"/>
      <rgbColor rgb="FF9DC3E6"/>
      <rgbColor rgb="FFFF99CC"/>
      <rgbColor rgb="FFCC99FF"/>
      <rgbColor rgb="FFFBD4B4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tabSelected="1" zoomScaleNormal="100" workbookViewId="0">
      <pane ySplit="2" topLeftCell="A3" activePane="bottomLeft" state="frozen"/>
      <selection pane="bottomLeft" activeCell="W77" sqref="W77"/>
    </sheetView>
  </sheetViews>
  <sheetFormatPr defaultColWidth="8.7265625" defaultRowHeight="14.5"/>
  <cols>
    <col min="1" max="1" width="42.36328125" customWidth="1"/>
    <col min="2" max="2" width="5" customWidth="1"/>
    <col min="3" max="3" width="7.1796875" customWidth="1"/>
    <col min="4" max="4" width="8.1796875" customWidth="1"/>
    <col min="5" max="5" width="6" customWidth="1"/>
    <col min="6" max="6" width="22" customWidth="1"/>
    <col min="7" max="7" width="18" customWidth="1"/>
    <col min="8" max="9" width="14.453125" bestFit="1" customWidth="1"/>
    <col min="10" max="10" width="6" customWidth="1"/>
    <col min="11" max="11" width="14.453125" bestFit="1" customWidth="1"/>
    <col min="12" max="12" width="8.453125" bestFit="1" customWidth="1"/>
    <col min="13" max="14" width="14.453125" bestFit="1" customWidth="1"/>
    <col min="15" max="15" width="6" customWidth="1"/>
    <col min="16" max="16" width="8.54296875" bestFit="1" customWidth="1"/>
    <col min="17" max="17" width="8.453125" bestFit="1" customWidth="1"/>
    <col min="18" max="18" width="10.453125" customWidth="1"/>
    <col min="19" max="19" width="12.453125" customWidth="1"/>
    <col min="20" max="21" width="8" customWidth="1"/>
  </cols>
  <sheetData>
    <row r="1" spans="1:21" ht="30" customHeight="1">
      <c r="A1" s="45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3" t="s">
        <v>5</v>
      </c>
      <c r="G1" s="43" t="s">
        <v>6</v>
      </c>
      <c r="H1" s="39" t="s">
        <v>7</v>
      </c>
      <c r="I1" s="40"/>
      <c r="J1" s="40"/>
      <c r="K1" s="40"/>
      <c r="L1" s="41"/>
      <c r="M1" s="44" t="s">
        <v>8</v>
      </c>
      <c r="N1" s="40"/>
      <c r="O1" s="40"/>
      <c r="P1" s="40"/>
      <c r="Q1" s="41"/>
      <c r="R1" s="37" t="s">
        <v>9</v>
      </c>
      <c r="S1" s="37" t="s">
        <v>10</v>
      </c>
      <c r="T1" s="37" t="s">
        <v>11</v>
      </c>
      <c r="U1" s="37" t="s">
        <v>12</v>
      </c>
    </row>
    <row r="2" spans="1:21" ht="30" customHeight="1">
      <c r="A2" s="46"/>
      <c r="B2" s="38"/>
      <c r="C2" s="38"/>
      <c r="D2" s="38"/>
      <c r="E2" s="38"/>
      <c r="F2" s="38"/>
      <c r="G2" s="38"/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38"/>
      <c r="S2" s="38"/>
      <c r="T2" s="38"/>
      <c r="U2" s="38"/>
    </row>
    <row r="3" spans="1:21" ht="18" customHeight="1">
      <c r="A3" s="18" t="s">
        <v>18</v>
      </c>
      <c r="B3" s="3">
        <v>1</v>
      </c>
      <c r="C3" s="3" t="s">
        <v>19</v>
      </c>
      <c r="D3" s="3">
        <v>100</v>
      </c>
      <c r="E3" s="3"/>
      <c r="F3" s="4"/>
      <c r="G3" s="5"/>
      <c r="H3" s="25">
        <f>MIN(H4:H76)</f>
        <v>46139</v>
      </c>
      <c r="I3" s="25">
        <f>MAX(I4:I76)</f>
        <v>46171</v>
      </c>
      <c r="J3" s="26">
        <f t="shared" ref="J3:J34" si="0">NETWORKDAYS(H3,I3)</f>
        <v>25</v>
      </c>
      <c r="K3" s="27">
        <f ca="1">SUM(L4,L14,L22,L35,L60,L73,L80)</f>
        <v>1</v>
      </c>
      <c r="L3" s="28">
        <f t="shared" ref="L3:L34" ca="1" si="1">$D3*K3/100</f>
        <v>1</v>
      </c>
      <c r="M3" s="29">
        <v>46139</v>
      </c>
      <c r="N3" s="29">
        <v>46170</v>
      </c>
      <c r="O3" s="30">
        <f t="shared" ref="O3:O34" si="2">NETWORKDAYS(M3,N3)</f>
        <v>24</v>
      </c>
      <c r="P3" s="31">
        <f ca="1">SUM(Q4,Q14,Q22,Q35,Q60,Q73,Q80)</f>
        <v>1</v>
      </c>
      <c r="Q3" s="32">
        <f t="shared" ref="Q3:Q34" ca="1" si="3">$D3*P3/100</f>
        <v>1</v>
      </c>
      <c r="R3" s="6"/>
      <c r="S3" s="34">
        <f t="shared" ref="S3:S34" ca="1" si="4">IF(AND(K3=0,P3=0), "", P3-K3)</f>
        <v>0</v>
      </c>
      <c r="T3" s="7">
        <f ca="1">IFERROR(P3/K3, "")</f>
        <v>1</v>
      </c>
      <c r="U3" s="8" t="str">
        <f t="array" aca="1" ref="U3" ca="1">IF(S3="","",IF(AND(I3&lt;=CalcDay, T3&lt;1), "지연", IF(T3&lt;0.95,"지연",IF(P3=100%,"완료","진행중"))))</f>
        <v>완료</v>
      </c>
    </row>
    <row r="4" spans="1:21" ht="18" customHeight="1">
      <c r="A4" s="19" t="s">
        <v>20</v>
      </c>
      <c r="B4" s="9">
        <v>2</v>
      </c>
      <c r="C4" s="9" t="s">
        <v>19</v>
      </c>
      <c r="D4" s="9">
        <v>5</v>
      </c>
      <c r="E4" s="9"/>
      <c r="F4" s="10"/>
      <c r="G4" s="11"/>
      <c r="H4" s="25">
        <f>MIN(H5:H13)</f>
        <v>46139</v>
      </c>
      <c r="I4" s="25">
        <f>MAX(I5:I13)</f>
        <v>46171</v>
      </c>
      <c r="J4" s="26">
        <f t="shared" si="0"/>
        <v>25</v>
      </c>
      <c r="K4" s="27">
        <f ca="1">SUM(L5,L8,L11)</f>
        <v>1</v>
      </c>
      <c r="L4" s="28">
        <f t="shared" ca="1" si="1"/>
        <v>0.05</v>
      </c>
      <c r="M4" s="29">
        <v>46139</v>
      </c>
      <c r="N4" s="29">
        <v>46170</v>
      </c>
      <c r="O4" s="30">
        <f t="shared" si="2"/>
        <v>24</v>
      </c>
      <c r="P4" s="31">
        <f ca="1">SUM(Q5,Q8,Q11)</f>
        <v>1</v>
      </c>
      <c r="Q4" s="32">
        <f t="shared" ca="1" si="3"/>
        <v>0.05</v>
      </c>
      <c r="R4" s="6"/>
      <c r="S4" s="34">
        <f t="shared" ca="1" si="4"/>
        <v>0</v>
      </c>
      <c r="T4" s="7">
        <f t="shared" ref="T4:T67" ca="1" si="5">IFERROR(P4/K4, "")</f>
        <v>1</v>
      </c>
      <c r="U4" s="8" t="str">
        <f t="array" aca="1" ref="U4" ca="1">IF(S4="","",IF(AND(I4&lt;=CalcDay, T4&lt;1), "지연", IF(T4&lt;0.95,"지연",IF(P4=100%,"완료","진행중"))))</f>
        <v>완료</v>
      </c>
    </row>
    <row r="5" spans="1:21" ht="18" customHeight="1">
      <c r="A5" s="20" t="s">
        <v>21</v>
      </c>
      <c r="B5" s="12">
        <v>3</v>
      </c>
      <c r="C5" s="12" t="s">
        <v>19</v>
      </c>
      <c r="D5" s="12">
        <v>30</v>
      </c>
      <c r="E5" s="12"/>
      <c r="F5" s="13"/>
      <c r="G5" s="14"/>
      <c r="H5" s="25">
        <f>MIN(H6:H7)</f>
        <v>46139</v>
      </c>
      <c r="I5" s="25">
        <f>MAX(I6:I7)</f>
        <v>46139</v>
      </c>
      <c r="J5" s="26">
        <f t="shared" si="0"/>
        <v>1</v>
      </c>
      <c r="K5" s="27">
        <f ca="1">SUM(L6:L7)</f>
        <v>1</v>
      </c>
      <c r="L5" s="28">
        <f t="shared" ca="1" si="1"/>
        <v>0.3</v>
      </c>
      <c r="M5" s="29">
        <v>46139</v>
      </c>
      <c r="N5" s="29">
        <v>46139</v>
      </c>
      <c r="O5" s="30">
        <f t="shared" si="2"/>
        <v>1</v>
      </c>
      <c r="P5" s="33">
        <f ca="1">SUM(Q6:Q7)</f>
        <v>1</v>
      </c>
      <c r="Q5" s="32">
        <f t="shared" ca="1" si="3"/>
        <v>0.3</v>
      </c>
      <c r="R5" s="6"/>
      <c r="S5" s="34">
        <f t="shared" ca="1" si="4"/>
        <v>0</v>
      </c>
      <c r="T5" s="7">
        <f t="shared" ca="1" si="5"/>
        <v>1</v>
      </c>
      <c r="U5" s="8" t="str">
        <f t="array" aca="1" ref="U5" ca="1">IF(S5="","",IF(AND(I5&lt;=CalcDay, T5&lt;1), "지연", IF(T5&lt;0.95,"지연",IF(P5=100%,"완료","진행중"))))</f>
        <v>완료</v>
      </c>
    </row>
    <row r="6" spans="1:21" ht="18" customHeight="1">
      <c r="A6" s="22" t="s">
        <v>22</v>
      </c>
      <c r="B6" s="15">
        <v>4</v>
      </c>
      <c r="C6" s="15" t="s">
        <v>23</v>
      </c>
      <c r="D6" s="15">
        <v>50</v>
      </c>
      <c r="E6" s="15"/>
      <c r="F6" s="16" t="s">
        <v>24</v>
      </c>
      <c r="G6" s="24" t="s">
        <v>25</v>
      </c>
      <c r="H6" s="25">
        <v>46139</v>
      </c>
      <c r="I6" s="25">
        <v>46139</v>
      </c>
      <c r="J6" s="26">
        <f t="shared" si="0"/>
        <v>1</v>
      </c>
      <c r="K6" s="27">
        <f ca="1">IF(TODAY()&gt;=I6, 1, IF(TODAY()&lt;H6, 0, NETWORKDAYS(H6, TODAY())/NETWORKDAYS(H6, I6)))</f>
        <v>1</v>
      </c>
      <c r="L6" s="28">
        <f t="shared" ca="1" si="1"/>
        <v>0.5</v>
      </c>
      <c r="M6" s="29">
        <v>46139</v>
      </c>
      <c r="N6" s="29">
        <v>46139</v>
      </c>
      <c r="O6" s="30">
        <f t="shared" si="2"/>
        <v>1</v>
      </c>
      <c r="P6" s="33">
        <f ca="1">IF(TODAY()&gt;=N6, 1, IF(TODAY()&lt;M6, 0, NETWORKDAYS(M6, TODAY())/NETWORKDAYS(M6, N6)))</f>
        <v>1</v>
      </c>
      <c r="Q6" s="32">
        <f t="shared" ca="1" si="3"/>
        <v>0.5</v>
      </c>
      <c r="R6" s="6"/>
      <c r="S6" s="34">
        <f t="shared" ca="1" si="4"/>
        <v>0</v>
      </c>
      <c r="T6" s="7">
        <f t="shared" ca="1" si="5"/>
        <v>1</v>
      </c>
      <c r="U6" s="8" t="str">
        <f t="array" aca="1" ref="U6" ca="1">IF(S6="","",IF(AND(I6&lt;=CalcDay, T6&lt;1), "지연", IF(T6&lt;0.95,"지연",IF(P6=100%,"완료","진행중"))))</f>
        <v>완료</v>
      </c>
    </row>
    <row r="7" spans="1:21" ht="18" customHeight="1">
      <c r="A7" s="22" t="s">
        <v>26</v>
      </c>
      <c r="B7" s="15">
        <v>4</v>
      </c>
      <c r="C7" s="15" t="s">
        <v>23</v>
      </c>
      <c r="D7" s="15">
        <v>50</v>
      </c>
      <c r="E7" s="15"/>
      <c r="F7" s="16" t="s">
        <v>27</v>
      </c>
      <c r="G7" s="24" t="s">
        <v>28</v>
      </c>
      <c r="H7" s="25">
        <v>46139</v>
      </c>
      <c r="I7" s="25">
        <v>46139</v>
      </c>
      <c r="J7" s="26">
        <f t="shared" si="0"/>
        <v>1</v>
      </c>
      <c r="K7" s="27">
        <f ca="1">IF(TODAY()&gt;=I7, 1, IF(TODAY()&lt;H7, 0, NETWORKDAYS(H7, TODAY())/NETWORKDAYS(H7, I7)))</f>
        <v>1</v>
      </c>
      <c r="L7" s="28">
        <f t="shared" ca="1" si="1"/>
        <v>0.5</v>
      </c>
      <c r="M7" s="29">
        <v>46139</v>
      </c>
      <c r="N7" s="29">
        <v>46139</v>
      </c>
      <c r="O7" s="30">
        <f t="shared" si="2"/>
        <v>1</v>
      </c>
      <c r="P7" s="33">
        <f ca="1">IF(TODAY()&gt;=N7, 1, IF(TODAY()&lt;M7, 0, NETWORKDAYS(M7, TODAY())/NETWORKDAYS(M7, N7)))</f>
        <v>1</v>
      </c>
      <c r="Q7" s="32">
        <f t="shared" ca="1" si="3"/>
        <v>0.5</v>
      </c>
      <c r="R7" s="6"/>
      <c r="S7" s="34">
        <f t="shared" ca="1" si="4"/>
        <v>0</v>
      </c>
      <c r="T7" s="7">
        <f t="shared" ca="1" si="5"/>
        <v>1</v>
      </c>
      <c r="U7" s="8" t="str">
        <f t="array" aca="1" ref="U7" ca="1">IF(S7="","",IF(AND(I7&lt;=CalcDay, T7&lt;1), "지연", IF(T7&lt;0.95,"지연",IF(P7=100%,"완료","진행중"))))</f>
        <v>완료</v>
      </c>
    </row>
    <row r="8" spans="1:21" ht="18" customHeight="1">
      <c r="A8" s="20" t="s">
        <v>29</v>
      </c>
      <c r="B8" s="12">
        <v>3</v>
      </c>
      <c r="C8" s="12" t="s">
        <v>19</v>
      </c>
      <c r="D8" s="12">
        <v>30</v>
      </c>
      <c r="E8" s="12"/>
      <c r="F8" s="13"/>
      <c r="G8" s="14"/>
      <c r="H8" s="25">
        <f>MIN(H9:H10)</f>
        <v>46140</v>
      </c>
      <c r="I8" s="25">
        <f>MAX(I9:I10)</f>
        <v>46171</v>
      </c>
      <c r="J8" s="26">
        <f t="shared" si="0"/>
        <v>24</v>
      </c>
      <c r="K8" s="27">
        <f ca="1">SUM(L9:L10)</f>
        <v>1</v>
      </c>
      <c r="L8" s="28">
        <f t="shared" ca="1" si="1"/>
        <v>0.3</v>
      </c>
      <c r="M8" s="29">
        <v>46140</v>
      </c>
      <c r="N8" s="29">
        <v>46141</v>
      </c>
      <c r="O8" s="30">
        <f t="shared" si="2"/>
        <v>2</v>
      </c>
      <c r="P8" s="33">
        <f ca="1">SUM(Q9:Q10)</f>
        <v>1</v>
      </c>
      <c r="Q8" s="32">
        <f t="shared" ca="1" si="3"/>
        <v>0.3</v>
      </c>
      <c r="R8" s="6"/>
      <c r="S8" s="34">
        <f t="shared" ca="1" si="4"/>
        <v>0</v>
      </c>
      <c r="T8" s="7">
        <f t="shared" ca="1" si="5"/>
        <v>1</v>
      </c>
      <c r="U8" s="8" t="str">
        <f t="array" aca="1" ref="U8" ca="1">IF(S8="","",IF(AND(I8&lt;=CalcDay, T8&lt;1), "지연", IF(T8&lt;0.95,"지연",IF(P8=100%,"완료","진행중"))))</f>
        <v>완료</v>
      </c>
    </row>
    <row r="9" spans="1:21" ht="18" customHeight="1">
      <c r="A9" s="23" t="s">
        <v>30</v>
      </c>
      <c r="B9" s="15">
        <v>4</v>
      </c>
      <c r="C9" s="15" t="s">
        <v>23</v>
      </c>
      <c r="D9" s="15">
        <v>50</v>
      </c>
      <c r="E9" s="15"/>
      <c r="F9" s="17" t="s">
        <v>31</v>
      </c>
      <c r="G9" s="24" t="s">
        <v>25</v>
      </c>
      <c r="H9" s="25">
        <v>46140</v>
      </c>
      <c r="I9" s="25">
        <v>46141</v>
      </c>
      <c r="J9" s="26">
        <f t="shared" si="0"/>
        <v>2</v>
      </c>
      <c r="K9" s="27">
        <f ca="1">IF(TODAY()&gt;=I9, 1, IF(TODAY()&lt;H9, 0, NETWORKDAYS(H9, TODAY())/NETWORKDAYS(H9, I9)))</f>
        <v>1</v>
      </c>
      <c r="L9" s="28">
        <f t="shared" ca="1" si="1"/>
        <v>0.5</v>
      </c>
      <c r="M9" s="29">
        <v>46141</v>
      </c>
      <c r="N9" s="29">
        <v>46141</v>
      </c>
      <c r="O9" s="30">
        <f t="shared" si="2"/>
        <v>1</v>
      </c>
      <c r="P9" s="33">
        <f ca="1">IF(TODAY()&gt;=N9, 1, IF(TODAY()&lt;M9, 0, NETWORKDAYS(M9, TODAY())/NETWORKDAYS(M9, N9)))</f>
        <v>1</v>
      </c>
      <c r="Q9" s="32">
        <f t="shared" ca="1" si="3"/>
        <v>0.5</v>
      </c>
      <c r="R9" s="6"/>
      <c r="S9" s="34">
        <f t="shared" ca="1" si="4"/>
        <v>0</v>
      </c>
      <c r="T9" s="7">
        <f t="shared" ca="1" si="5"/>
        <v>1</v>
      </c>
      <c r="U9" s="8" t="str">
        <f t="array" aca="1" ref="U9" ca="1">IF(S9="","",IF(AND(I9&lt;=CalcDay, T9&lt;1), "지연", IF(T9&lt;0.95,"지연",IF(P9=100%,"완료","진행중"))))</f>
        <v>완료</v>
      </c>
    </row>
    <row r="10" spans="1:21" ht="18" customHeight="1">
      <c r="A10" s="22" t="s">
        <v>32</v>
      </c>
      <c r="B10" s="15">
        <v>4</v>
      </c>
      <c r="C10" s="15" t="s">
        <v>23</v>
      </c>
      <c r="D10" s="15">
        <v>50</v>
      </c>
      <c r="E10" s="15"/>
      <c r="F10" s="16" t="s">
        <v>33</v>
      </c>
      <c r="G10" s="24" t="s">
        <v>25</v>
      </c>
      <c r="H10" s="25">
        <v>46140</v>
      </c>
      <c r="I10" s="25">
        <v>46171</v>
      </c>
      <c r="J10" s="26">
        <f t="shared" si="0"/>
        <v>24</v>
      </c>
      <c r="K10" s="27">
        <f ca="1">IF(TODAY()&gt;=I10, 1, IF(TODAY()&lt;H10, 0, NETWORKDAYS(H10, TODAY())/NETWORKDAYS(H10, I10)))</f>
        <v>1</v>
      </c>
      <c r="L10" s="28">
        <f t="shared" ca="1" si="1"/>
        <v>0.5</v>
      </c>
      <c r="M10" s="29">
        <v>46140</v>
      </c>
      <c r="N10" s="29">
        <v>46170</v>
      </c>
      <c r="O10" s="30">
        <f t="shared" si="2"/>
        <v>23</v>
      </c>
      <c r="P10" s="33">
        <f ca="1">IF(TODAY()&gt;=N10, 1, IF(TODAY()&lt;M10, 0, NETWORKDAYS(M10, TODAY())/NETWORKDAYS(M10, N10)))</f>
        <v>1</v>
      </c>
      <c r="Q10" s="32">
        <f t="shared" ca="1" si="3"/>
        <v>0.5</v>
      </c>
      <c r="R10" s="6"/>
      <c r="S10" s="34">
        <f t="shared" ca="1" si="4"/>
        <v>0</v>
      </c>
      <c r="T10" s="7">
        <f t="shared" ca="1" si="5"/>
        <v>1</v>
      </c>
      <c r="U10" s="8" t="str">
        <f t="array" aca="1" ref="U10" ca="1">IF(S10="","",IF(AND(I10&lt;=CalcDay, T10&lt;1), "지연", IF(T10&lt;0.95,"지연",IF(P10=100%,"완료","진행중"))))</f>
        <v>완료</v>
      </c>
    </row>
    <row r="11" spans="1:21" ht="18" customHeight="1">
      <c r="A11" s="20" t="s">
        <v>34</v>
      </c>
      <c r="B11" s="12">
        <v>3</v>
      </c>
      <c r="C11" s="12" t="s">
        <v>19</v>
      </c>
      <c r="D11" s="12">
        <v>40</v>
      </c>
      <c r="E11" s="12"/>
      <c r="F11" s="13"/>
      <c r="G11" s="14"/>
      <c r="H11" s="25">
        <f>MIN(H12:H13)</f>
        <v>46140</v>
      </c>
      <c r="I11" s="25">
        <f>MAX(I12:I13)</f>
        <v>46171</v>
      </c>
      <c r="J11" s="26">
        <f t="shared" si="0"/>
        <v>24</v>
      </c>
      <c r="K11" s="27">
        <f ca="1">SUM(L12:L13)</f>
        <v>1</v>
      </c>
      <c r="L11" s="28">
        <f t="shared" ca="1" si="1"/>
        <v>0.4</v>
      </c>
      <c r="M11" s="29">
        <v>46140</v>
      </c>
      <c r="N11" s="29">
        <v>46170</v>
      </c>
      <c r="O11" s="30">
        <f t="shared" si="2"/>
        <v>23</v>
      </c>
      <c r="P11" s="33">
        <f ca="1">SUM(Q12:Q13)</f>
        <v>1</v>
      </c>
      <c r="Q11" s="32">
        <f t="shared" ca="1" si="3"/>
        <v>0.4</v>
      </c>
      <c r="R11" s="6"/>
      <c r="S11" s="34">
        <f t="shared" ca="1" si="4"/>
        <v>0</v>
      </c>
      <c r="T11" s="7">
        <f t="shared" ca="1" si="5"/>
        <v>1</v>
      </c>
      <c r="U11" s="8" t="str">
        <f t="array" aca="1" ref="U11" ca="1">IF(S11="","",IF(AND(I11&lt;=CalcDay, T11&lt;1), "지연", IF(T11&lt;0.95,"지연",IF(P11=100%,"완료","진행중"))))</f>
        <v>완료</v>
      </c>
    </row>
    <row r="12" spans="1:21" ht="18" customHeight="1">
      <c r="A12" s="22" t="s">
        <v>35</v>
      </c>
      <c r="B12" s="15">
        <v>4</v>
      </c>
      <c r="C12" s="15" t="s">
        <v>23</v>
      </c>
      <c r="D12" s="15">
        <v>50</v>
      </c>
      <c r="E12" s="15"/>
      <c r="F12" s="16" t="s">
        <v>36</v>
      </c>
      <c r="G12" s="24" t="s">
        <v>25</v>
      </c>
      <c r="H12" s="25">
        <v>46140</v>
      </c>
      <c r="I12" s="25">
        <v>46171</v>
      </c>
      <c r="J12" s="26">
        <f t="shared" si="0"/>
        <v>24</v>
      </c>
      <c r="K12" s="27">
        <f ca="1">IF(TODAY()&gt;=I12, 1, IF(TODAY()&lt;H12, 0, NETWORKDAYS(H12, TODAY())/NETWORKDAYS(H12, I12)))</f>
        <v>1</v>
      </c>
      <c r="L12" s="28">
        <f t="shared" ca="1" si="1"/>
        <v>0.5</v>
      </c>
      <c r="M12" s="29">
        <v>46140</v>
      </c>
      <c r="N12" s="29">
        <v>46170</v>
      </c>
      <c r="O12" s="30">
        <f t="shared" si="2"/>
        <v>23</v>
      </c>
      <c r="P12" s="33">
        <f ca="1">IF(TODAY()&gt;=N12, 1, IF(TODAY()&lt;M12, 0, NETWORKDAYS(M12, TODAY())/NETWORKDAYS(M12, N12)))</f>
        <v>1</v>
      </c>
      <c r="Q12" s="32">
        <f t="shared" ca="1" si="3"/>
        <v>0.5</v>
      </c>
      <c r="R12" s="6"/>
      <c r="S12" s="34">
        <f t="shared" ca="1" si="4"/>
        <v>0</v>
      </c>
      <c r="T12" s="7">
        <f t="shared" ca="1" si="5"/>
        <v>1</v>
      </c>
      <c r="U12" s="8" t="str">
        <f t="array" aca="1" ref="U12" ca="1">IF(S12="","",IF(AND(I12&lt;=CalcDay, T12&lt;1), "지연", IF(T12&lt;0.95,"지연",IF(P12=100%,"완료","진행중"))))</f>
        <v>완료</v>
      </c>
    </row>
    <row r="13" spans="1:21" ht="18" customHeight="1">
      <c r="A13" s="22" t="s">
        <v>37</v>
      </c>
      <c r="B13" s="15">
        <v>4</v>
      </c>
      <c r="C13" s="15" t="s">
        <v>23</v>
      </c>
      <c r="D13" s="15">
        <v>50</v>
      </c>
      <c r="E13" s="15"/>
      <c r="F13" s="16" t="s">
        <v>38</v>
      </c>
      <c r="G13" s="24" t="s">
        <v>25</v>
      </c>
      <c r="H13" s="25">
        <v>46140</v>
      </c>
      <c r="I13" s="25">
        <v>46171</v>
      </c>
      <c r="J13" s="26">
        <f t="shared" si="0"/>
        <v>24</v>
      </c>
      <c r="K13" s="27">
        <f ca="1">IF(TODAY()&gt;=I13, 1, IF(TODAY()&lt;H13, 0, NETWORKDAYS(H13, TODAY())/NETWORKDAYS(H13, I13)))</f>
        <v>1</v>
      </c>
      <c r="L13" s="28">
        <f t="shared" ca="1" si="1"/>
        <v>0.5</v>
      </c>
      <c r="M13" s="29">
        <v>46140</v>
      </c>
      <c r="N13" s="29">
        <v>46170</v>
      </c>
      <c r="O13" s="30">
        <f t="shared" si="2"/>
        <v>23</v>
      </c>
      <c r="P13" s="33">
        <f ca="1">IF(TODAY()&gt;=N13, 1, IF(TODAY()&lt;M13, 0, NETWORKDAYS(M13, TODAY())/NETWORKDAYS(M13, N13)))</f>
        <v>1</v>
      </c>
      <c r="Q13" s="32">
        <f t="shared" ca="1" si="3"/>
        <v>0.5</v>
      </c>
      <c r="R13" s="6"/>
      <c r="S13" s="34">
        <f t="shared" ca="1" si="4"/>
        <v>0</v>
      </c>
      <c r="T13" s="7">
        <f t="shared" ca="1" si="5"/>
        <v>1</v>
      </c>
      <c r="U13" s="8" t="str">
        <f t="array" aca="1" ref="U13" ca="1">IF(S13="","",IF(AND(I13&lt;=CalcDay, T13&lt;1), "지연", IF(T13&lt;0.95,"지연",IF(P13=100%,"완료","진행중"))))</f>
        <v>완료</v>
      </c>
    </row>
    <row r="14" spans="1:21" ht="18" customHeight="1">
      <c r="A14" s="19" t="s">
        <v>39</v>
      </c>
      <c r="B14" s="9">
        <v>2</v>
      </c>
      <c r="C14" s="9" t="s">
        <v>19</v>
      </c>
      <c r="D14" s="9">
        <v>10</v>
      </c>
      <c r="E14" s="9"/>
      <c r="F14" s="10"/>
      <c r="G14" s="11"/>
      <c r="H14" s="25">
        <f>MIN(H15:H21)</f>
        <v>46139</v>
      </c>
      <c r="I14" s="25">
        <f>MAX(I15:I21)</f>
        <v>46141</v>
      </c>
      <c r="J14" s="26">
        <f t="shared" si="0"/>
        <v>3</v>
      </c>
      <c r="K14" s="27">
        <f ca="1">SUM(L15,L18)</f>
        <v>1</v>
      </c>
      <c r="L14" s="28">
        <f t="shared" ca="1" si="1"/>
        <v>0.1</v>
      </c>
      <c r="M14" s="29">
        <v>46139</v>
      </c>
      <c r="N14" s="29">
        <v>46141</v>
      </c>
      <c r="O14" s="30">
        <f t="shared" si="2"/>
        <v>3</v>
      </c>
      <c r="P14" s="33">
        <f ca="1">SUM(Q15,Q18)</f>
        <v>1</v>
      </c>
      <c r="Q14" s="32">
        <f t="shared" ca="1" si="3"/>
        <v>0.1</v>
      </c>
      <c r="R14" s="6"/>
      <c r="S14" s="34">
        <f t="shared" ca="1" si="4"/>
        <v>0</v>
      </c>
      <c r="T14" s="7">
        <f t="shared" ca="1" si="5"/>
        <v>1</v>
      </c>
      <c r="U14" s="8" t="str">
        <f t="array" aca="1" ref="U14" ca="1">IF(S14="","",IF(AND(I14&lt;=CalcDay, T14&lt;1), "지연", IF(T14&lt;0.95,"지연",IF(P14=100%,"완료","진행중"))))</f>
        <v>완료</v>
      </c>
    </row>
    <row r="15" spans="1:21" ht="18" customHeight="1">
      <c r="A15" s="20" t="s">
        <v>40</v>
      </c>
      <c r="B15" s="12">
        <v>3</v>
      </c>
      <c r="C15" s="12" t="s">
        <v>19</v>
      </c>
      <c r="D15" s="12">
        <v>50</v>
      </c>
      <c r="E15" s="12"/>
      <c r="F15" s="13"/>
      <c r="G15" s="14"/>
      <c r="H15" s="25">
        <f>MIN(H16:H17)</f>
        <v>46139</v>
      </c>
      <c r="I15" s="25">
        <f>MIN(I16:I17)</f>
        <v>46140</v>
      </c>
      <c r="J15" s="26">
        <f t="shared" si="0"/>
        <v>2</v>
      </c>
      <c r="K15" s="27">
        <f ca="1">SUM(L16:L17)</f>
        <v>1</v>
      </c>
      <c r="L15" s="28">
        <f t="shared" ca="1" si="1"/>
        <v>0.5</v>
      </c>
      <c r="M15" s="29">
        <v>46139</v>
      </c>
      <c r="N15" s="29">
        <v>46141</v>
      </c>
      <c r="O15" s="30">
        <f t="shared" si="2"/>
        <v>3</v>
      </c>
      <c r="P15" s="33">
        <f ca="1">SUM(Q16:Q17)</f>
        <v>1</v>
      </c>
      <c r="Q15" s="32">
        <f t="shared" ca="1" si="3"/>
        <v>0.5</v>
      </c>
      <c r="R15" s="6"/>
      <c r="S15" s="34">
        <f t="shared" ca="1" si="4"/>
        <v>0</v>
      </c>
      <c r="T15" s="7">
        <f t="shared" ca="1" si="5"/>
        <v>1</v>
      </c>
      <c r="U15" s="8" t="str">
        <f t="array" aca="1" ref="U15" ca="1">IF(S15="","",IF(AND(I15&lt;=CalcDay, T15&lt;1), "지연", IF(T15&lt;0.95,"지연",IF(P15=100%,"완료","진행중"))))</f>
        <v>완료</v>
      </c>
    </row>
    <row r="16" spans="1:21" ht="18" customHeight="1">
      <c r="A16" s="22" t="s">
        <v>41</v>
      </c>
      <c r="B16" s="15">
        <v>4</v>
      </c>
      <c r="C16" s="15" t="s">
        <v>23</v>
      </c>
      <c r="D16" s="15">
        <v>50</v>
      </c>
      <c r="E16" s="15"/>
      <c r="F16" s="16" t="s">
        <v>42</v>
      </c>
      <c r="G16" s="24" t="s">
        <v>28</v>
      </c>
      <c r="H16" s="25">
        <v>46139</v>
      </c>
      <c r="I16" s="25">
        <v>46140</v>
      </c>
      <c r="J16" s="26">
        <f t="shared" si="0"/>
        <v>2</v>
      </c>
      <c r="K16" s="27">
        <f ca="1">IF(TODAY()&gt;=I16, 1, IF(TODAY()&lt;H16, 0, NETWORKDAYS(H16, TODAY())/NETWORKDAYS(H16, I16)))</f>
        <v>1</v>
      </c>
      <c r="L16" s="28">
        <f t="shared" ca="1" si="1"/>
        <v>0.5</v>
      </c>
      <c r="M16" s="29">
        <v>46139</v>
      </c>
      <c r="N16" s="29">
        <v>46141</v>
      </c>
      <c r="O16" s="30">
        <f t="shared" si="2"/>
        <v>3</v>
      </c>
      <c r="P16" s="33">
        <f ca="1">IF(TODAY()&gt;=N16, 1, IF(TODAY()&lt;M16, 0, NETWORKDAYS(M16, TODAY())/NETWORKDAYS(M16, N16)))</f>
        <v>1</v>
      </c>
      <c r="Q16" s="32">
        <f t="shared" ca="1" si="3"/>
        <v>0.5</v>
      </c>
      <c r="R16" s="6"/>
      <c r="S16" s="34">
        <f t="shared" ca="1" si="4"/>
        <v>0</v>
      </c>
      <c r="T16" s="7">
        <f t="shared" ca="1" si="5"/>
        <v>1</v>
      </c>
      <c r="U16" s="8" t="str">
        <f t="array" aca="1" ref="U16" ca="1">IF(S16="","",IF(AND(I16&lt;=CalcDay, T16&lt;1), "지연", IF(T16&lt;0.95,"지연",IF(P16=100%,"완료","진행중"))))</f>
        <v>완료</v>
      </c>
    </row>
    <row r="17" spans="1:21" ht="18" customHeight="1">
      <c r="A17" s="23" t="s">
        <v>43</v>
      </c>
      <c r="B17" s="15">
        <v>4</v>
      </c>
      <c r="C17" s="15" t="s">
        <v>23</v>
      </c>
      <c r="D17" s="15">
        <v>50</v>
      </c>
      <c r="E17" s="15"/>
      <c r="F17" s="17" t="s">
        <v>44</v>
      </c>
      <c r="G17" s="24" t="s">
        <v>45</v>
      </c>
      <c r="H17" s="25">
        <v>46139</v>
      </c>
      <c r="I17" s="25">
        <v>46140</v>
      </c>
      <c r="J17" s="26">
        <f t="shared" si="0"/>
        <v>2</v>
      </c>
      <c r="K17" s="27">
        <f ca="1">IF(TODAY()&gt;=I17, 1, IF(TODAY()&lt;H17, 0, NETWORKDAYS(H17, TODAY())/NETWORKDAYS(H17, I17)))</f>
        <v>1</v>
      </c>
      <c r="L17" s="28">
        <f t="shared" ca="1" si="1"/>
        <v>0.5</v>
      </c>
      <c r="M17" s="29">
        <v>46139</v>
      </c>
      <c r="N17" s="29">
        <v>46141</v>
      </c>
      <c r="O17" s="30">
        <f t="shared" si="2"/>
        <v>3</v>
      </c>
      <c r="P17" s="33">
        <f ca="1">IF(TODAY()&gt;=N17, 1, IF(TODAY()&lt;M17, 0, NETWORKDAYS(M17, TODAY())/NETWORKDAYS(M17, N17)))</f>
        <v>1</v>
      </c>
      <c r="Q17" s="32">
        <f t="shared" ca="1" si="3"/>
        <v>0.5</v>
      </c>
      <c r="R17" s="6"/>
      <c r="S17" s="34">
        <f t="shared" ca="1" si="4"/>
        <v>0</v>
      </c>
      <c r="T17" s="7">
        <f t="shared" ca="1" si="5"/>
        <v>1</v>
      </c>
      <c r="U17" s="8" t="str">
        <f t="array" aca="1" ref="U17" ca="1">IF(S17="","",IF(AND(I17&lt;=CalcDay, T17&lt;1), "지연", IF(T17&lt;0.95,"지연",IF(P17=100%,"완료","진행중"))))</f>
        <v>완료</v>
      </c>
    </row>
    <row r="18" spans="1:21" ht="18" customHeight="1">
      <c r="A18" s="20" t="s">
        <v>46</v>
      </c>
      <c r="B18" s="12">
        <v>3</v>
      </c>
      <c r="C18" s="12" t="s">
        <v>19</v>
      </c>
      <c r="D18" s="12">
        <v>50</v>
      </c>
      <c r="E18" s="12"/>
      <c r="F18" s="13"/>
      <c r="G18" s="14"/>
      <c r="H18" s="25">
        <f>MIN(H19:H21)</f>
        <v>46140</v>
      </c>
      <c r="I18" s="25">
        <f>MAX(I19:I21)</f>
        <v>46141</v>
      </c>
      <c r="J18" s="26">
        <f t="shared" si="0"/>
        <v>2</v>
      </c>
      <c r="K18" s="27">
        <f ca="1">SUM(L19:L21)</f>
        <v>1</v>
      </c>
      <c r="L18" s="28">
        <f t="shared" ca="1" si="1"/>
        <v>0.5</v>
      </c>
      <c r="M18" s="29">
        <v>46140</v>
      </c>
      <c r="N18" s="29">
        <v>46140</v>
      </c>
      <c r="O18" s="30">
        <f t="shared" si="2"/>
        <v>1</v>
      </c>
      <c r="P18" s="33">
        <f ca="1">SUM(Q19:Q21)</f>
        <v>1</v>
      </c>
      <c r="Q18" s="32">
        <f t="shared" ca="1" si="3"/>
        <v>0.5</v>
      </c>
      <c r="R18" s="6"/>
      <c r="S18" s="34">
        <f t="shared" ca="1" si="4"/>
        <v>0</v>
      </c>
      <c r="T18" s="7">
        <f t="shared" ca="1" si="5"/>
        <v>1</v>
      </c>
      <c r="U18" s="8" t="str">
        <f t="array" aca="1" ref="U18" ca="1">IF(S18="","",IF(AND(I18&lt;=CalcDay, T18&lt;1), "지연", IF(T18&lt;0.95,"지연",IF(P18=100%,"완료","진행중"))))</f>
        <v>완료</v>
      </c>
    </row>
    <row r="19" spans="1:21" ht="18" customHeight="1">
      <c r="A19" s="22" t="s">
        <v>47</v>
      </c>
      <c r="B19" s="15">
        <v>4</v>
      </c>
      <c r="C19" s="15" t="s">
        <v>23</v>
      </c>
      <c r="D19" s="15">
        <v>34</v>
      </c>
      <c r="E19" s="15"/>
      <c r="F19" s="16" t="s">
        <v>48</v>
      </c>
      <c r="G19" s="24" t="s">
        <v>49</v>
      </c>
      <c r="H19" s="25">
        <v>46140</v>
      </c>
      <c r="I19" s="25">
        <v>46141</v>
      </c>
      <c r="J19" s="26">
        <f t="shared" si="0"/>
        <v>2</v>
      </c>
      <c r="K19" s="27">
        <f ca="1">IF(TODAY()&gt;=I19, 1, IF(TODAY()&lt;H19, 0, NETWORKDAYS(H19, TODAY())/NETWORKDAYS(H19, I19)))</f>
        <v>1</v>
      </c>
      <c r="L19" s="28">
        <f t="shared" ca="1" si="1"/>
        <v>0.34</v>
      </c>
      <c r="M19" s="29">
        <v>46140</v>
      </c>
      <c r="N19" s="29">
        <v>46140</v>
      </c>
      <c r="O19" s="30">
        <f t="shared" si="2"/>
        <v>1</v>
      </c>
      <c r="P19" s="33">
        <f ca="1">IF(TODAY()&gt;=N19, 1, IF(TODAY()&lt;M19, 0, NETWORKDAYS(M19, TODAY())/NETWORKDAYS(M19, N19)))</f>
        <v>1</v>
      </c>
      <c r="Q19" s="32">
        <f t="shared" ca="1" si="3"/>
        <v>0.34</v>
      </c>
      <c r="R19" s="6"/>
      <c r="S19" s="34">
        <f t="shared" ca="1" si="4"/>
        <v>0</v>
      </c>
      <c r="T19" s="7">
        <f t="shared" ca="1" si="5"/>
        <v>1</v>
      </c>
      <c r="U19" s="8" t="str">
        <f t="array" aca="1" ref="U19" ca="1">IF(S19="","",IF(AND(I19&lt;=CalcDay, T19&lt;1), "지연", IF(T19&lt;0.95,"지연",IF(P19=100%,"완료","진행중"))))</f>
        <v>완료</v>
      </c>
    </row>
    <row r="20" spans="1:21" ht="18" customHeight="1">
      <c r="A20" s="23" t="s">
        <v>50</v>
      </c>
      <c r="B20" s="15">
        <v>4</v>
      </c>
      <c r="C20" s="15" t="s">
        <v>23</v>
      </c>
      <c r="D20" s="15">
        <v>33</v>
      </c>
      <c r="E20" s="15"/>
      <c r="F20" s="17" t="s">
        <v>51</v>
      </c>
      <c r="G20" s="24" t="s">
        <v>52</v>
      </c>
      <c r="H20" s="25">
        <v>46140</v>
      </c>
      <c r="I20" s="25">
        <v>46141</v>
      </c>
      <c r="J20" s="26">
        <f t="shared" si="0"/>
        <v>2</v>
      </c>
      <c r="K20" s="27">
        <f ca="1">IF(TODAY()&gt;=I20, 1, IF(TODAY()&lt;H20, 0, NETWORKDAYS(H20, TODAY())/NETWORKDAYS(H20, I20)))</f>
        <v>1</v>
      </c>
      <c r="L20" s="28">
        <f t="shared" ca="1" si="1"/>
        <v>0.33</v>
      </c>
      <c r="M20" s="29">
        <v>46140</v>
      </c>
      <c r="N20" s="29">
        <v>46140</v>
      </c>
      <c r="O20" s="30">
        <f t="shared" si="2"/>
        <v>1</v>
      </c>
      <c r="P20" s="33">
        <f ca="1">IF(TODAY()&gt;=N20, 1, IF(TODAY()&lt;M20, 0, NETWORKDAYS(M20, TODAY())/NETWORKDAYS(M20, N20)))</f>
        <v>1</v>
      </c>
      <c r="Q20" s="32">
        <f t="shared" ca="1" si="3"/>
        <v>0.33</v>
      </c>
      <c r="R20" s="6"/>
      <c r="S20" s="34">
        <f t="shared" ca="1" si="4"/>
        <v>0</v>
      </c>
      <c r="T20" s="7">
        <f t="shared" ca="1" si="5"/>
        <v>1</v>
      </c>
      <c r="U20" s="8" t="str">
        <f t="array" aca="1" ref="U20" ca="1">IF(S20="","",IF(AND(I20&lt;=CalcDay, T20&lt;1), "지연", IF(T20&lt;0.95,"지연",IF(P20=100%,"완료","진행중"))))</f>
        <v>완료</v>
      </c>
    </row>
    <row r="21" spans="1:21" ht="18" customHeight="1">
      <c r="A21" s="23" t="s">
        <v>53</v>
      </c>
      <c r="B21" s="15">
        <v>4</v>
      </c>
      <c r="C21" s="15" t="s">
        <v>23</v>
      </c>
      <c r="D21" s="15">
        <v>33</v>
      </c>
      <c r="E21" s="15"/>
      <c r="F21" s="17" t="s">
        <v>169</v>
      </c>
      <c r="G21" s="24" t="s">
        <v>54</v>
      </c>
      <c r="H21" s="25">
        <v>46140</v>
      </c>
      <c r="I21" s="25">
        <v>46141</v>
      </c>
      <c r="J21" s="26">
        <f t="shared" si="0"/>
        <v>2</v>
      </c>
      <c r="K21" s="27">
        <f ca="1">IF(TODAY()&gt;=I21, 1, IF(TODAY()&lt;H21, 0, NETWORKDAYS(H21, TODAY())/NETWORKDAYS(H21, I21)))</f>
        <v>1</v>
      </c>
      <c r="L21" s="28">
        <f t="shared" ca="1" si="1"/>
        <v>0.33</v>
      </c>
      <c r="M21" s="29">
        <v>46140</v>
      </c>
      <c r="N21" s="29">
        <v>46140</v>
      </c>
      <c r="O21" s="30">
        <f t="shared" si="2"/>
        <v>1</v>
      </c>
      <c r="P21" s="33">
        <f ca="1">IF(TODAY()&gt;=N21, 1, IF(TODAY()&lt;M21, 0, NETWORKDAYS(M21, TODAY())/NETWORKDAYS(M21, N21)))</f>
        <v>1</v>
      </c>
      <c r="Q21" s="32">
        <f t="shared" ca="1" si="3"/>
        <v>0.33</v>
      </c>
      <c r="R21" s="6"/>
      <c r="S21" s="34">
        <f t="shared" ca="1" si="4"/>
        <v>0</v>
      </c>
      <c r="T21" s="7">
        <f t="shared" ca="1" si="5"/>
        <v>1</v>
      </c>
      <c r="U21" s="8" t="str">
        <f t="array" aca="1" ref="U21" ca="1">IF(S21="","",IF(AND(I21&lt;=CalcDay, T21&lt;1), "지연", IF(T21&lt;0.95,"지연",IF(P21=100%,"완료","진행중"))))</f>
        <v>완료</v>
      </c>
    </row>
    <row r="22" spans="1:21" ht="18" customHeight="1">
      <c r="A22" s="19" t="s">
        <v>55</v>
      </c>
      <c r="B22" s="9">
        <v>2</v>
      </c>
      <c r="C22" s="9" t="s">
        <v>19</v>
      </c>
      <c r="D22" s="9">
        <v>20</v>
      </c>
      <c r="E22" s="9"/>
      <c r="F22" s="10"/>
      <c r="G22" s="11"/>
      <c r="H22" s="25">
        <f>MIN(H23:H34)</f>
        <v>46140</v>
      </c>
      <c r="I22" s="25">
        <f>MAX(I23:I34)</f>
        <v>46163</v>
      </c>
      <c r="J22" s="26">
        <f t="shared" si="0"/>
        <v>18</v>
      </c>
      <c r="K22" s="27">
        <f ca="1">SUM(L23,L27,L30)</f>
        <v>1</v>
      </c>
      <c r="L22" s="28">
        <f t="shared" ca="1" si="1"/>
        <v>0.2</v>
      </c>
      <c r="M22" s="29">
        <v>46140</v>
      </c>
      <c r="N22" s="29">
        <v>46170</v>
      </c>
      <c r="O22" s="30">
        <f t="shared" si="2"/>
        <v>23</v>
      </c>
      <c r="P22" s="33">
        <f ca="1">SUM(Q23,Q27,Q30)</f>
        <v>1</v>
      </c>
      <c r="Q22" s="32">
        <f t="shared" ca="1" si="3"/>
        <v>0.2</v>
      </c>
      <c r="R22" s="6"/>
      <c r="S22" s="34">
        <f t="shared" ca="1" si="4"/>
        <v>0</v>
      </c>
      <c r="T22" s="7">
        <f t="shared" ca="1" si="5"/>
        <v>1</v>
      </c>
      <c r="U22" s="8" t="str">
        <f t="array" aca="1" ref="U22" ca="1">IF(S22="","",IF(AND(I22&lt;=CalcDay, T22&lt;1), "지연", IF(T22&lt;0.95,"지연",IF(P22=100%,"완료","진행중"))))</f>
        <v>완료</v>
      </c>
    </row>
    <row r="23" spans="1:21" ht="18" customHeight="1">
      <c r="A23" s="20" t="s">
        <v>56</v>
      </c>
      <c r="B23" s="12">
        <v>3</v>
      </c>
      <c r="C23" s="12" t="s">
        <v>19</v>
      </c>
      <c r="D23" s="12">
        <v>33</v>
      </c>
      <c r="E23" s="12"/>
      <c r="F23" s="13"/>
      <c r="G23" s="14"/>
      <c r="H23" s="25">
        <f>MIN(H24:H26)</f>
        <v>46140</v>
      </c>
      <c r="I23" s="25">
        <f>MIN(I24:I26)</f>
        <v>46142</v>
      </c>
      <c r="J23" s="26">
        <f t="shared" si="0"/>
        <v>3</v>
      </c>
      <c r="K23" s="27">
        <f ca="1">SUM(L24:L26)</f>
        <v>1</v>
      </c>
      <c r="L23" s="28">
        <f t="shared" ca="1" si="1"/>
        <v>0.33</v>
      </c>
      <c r="M23" s="29">
        <v>46140</v>
      </c>
      <c r="N23" s="29">
        <v>46142</v>
      </c>
      <c r="O23" s="30">
        <f t="shared" si="2"/>
        <v>3</v>
      </c>
      <c r="P23" s="33">
        <f ca="1">SUM(Q24:Q26)</f>
        <v>1</v>
      </c>
      <c r="Q23" s="32">
        <f t="shared" ca="1" si="3"/>
        <v>0.33</v>
      </c>
      <c r="R23" s="6"/>
      <c r="S23" s="34">
        <f t="shared" ca="1" si="4"/>
        <v>0</v>
      </c>
      <c r="T23" s="7">
        <f t="shared" ca="1" si="5"/>
        <v>1</v>
      </c>
      <c r="U23" s="8" t="str">
        <f t="array" aca="1" ref="U23" ca="1">IF(S23="","",IF(AND(I23&lt;=CalcDay, T23&lt;1), "지연", IF(T23&lt;0.95,"지연",IF(P23=100%,"완료","진행중"))))</f>
        <v>완료</v>
      </c>
    </row>
    <row r="24" spans="1:21" ht="18" customHeight="1">
      <c r="A24" s="23" t="s">
        <v>57</v>
      </c>
      <c r="B24" s="15">
        <v>4</v>
      </c>
      <c r="C24" s="15" t="s">
        <v>23</v>
      </c>
      <c r="D24" s="15">
        <v>33</v>
      </c>
      <c r="E24" s="15"/>
      <c r="F24" s="16" t="s">
        <v>58</v>
      </c>
      <c r="G24" s="24" t="s">
        <v>170</v>
      </c>
      <c r="H24" s="25">
        <v>46140</v>
      </c>
      <c r="I24" s="25">
        <v>46142</v>
      </c>
      <c r="J24" s="26">
        <f t="shared" si="0"/>
        <v>3</v>
      </c>
      <c r="K24" s="27">
        <f ca="1">IF(TODAY()&gt;=I24, 1, IF(TODAY()&lt;H24, 0, NETWORKDAYS(H24, TODAY())/NETWORKDAYS(H24, I24)))</f>
        <v>1</v>
      </c>
      <c r="L24" s="28">
        <f t="shared" ca="1" si="1"/>
        <v>0.33</v>
      </c>
      <c r="M24" s="29">
        <v>46140</v>
      </c>
      <c r="N24" s="29">
        <v>46142</v>
      </c>
      <c r="O24" s="30">
        <f t="shared" si="2"/>
        <v>3</v>
      </c>
      <c r="P24" s="33">
        <f ca="1">IF(TODAY()&gt;=N24, 1, IF(TODAY()&lt;M24, 0, NETWORKDAYS(M24, TODAY())/NETWORKDAYS(M24, N24)))</f>
        <v>1</v>
      </c>
      <c r="Q24" s="32">
        <f t="shared" ca="1" si="3"/>
        <v>0.33</v>
      </c>
      <c r="R24" s="6"/>
      <c r="S24" s="34">
        <f t="shared" ca="1" si="4"/>
        <v>0</v>
      </c>
      <c r="T24" s="7">
        <f t="shared" ca="1" si="5"/>
        <v>1</v>
      </c>
      <c r="U24" s="8" t="str">
        <f t="array" aca="1" ref="U24" ca="1">IF(S24="","",IF(AND(I24&lt;=CalcDay, T24&lt;1), "지연", IF(T24&lt;0.95,"지연",IF(P24=100%,"완료","진행중"))))</f>
        <v>완료</v>
      </c>
    </row>
    <row r="25" spans="1:21" ht="18" customHeight="1">
      <c r="A25" s="22" t="s">
        <v>60</v>
      </c>
      <c r="B25" s="15">
        <v>4</v>
      </c>
      <c r="C25" s="15" t="s">
        <v>23</v>
      </c>
      <c r="D25" s="15">
        <v>34</v>
      </c>
      <c r="E25" s="15"/>
      <c r="F25" s="16" t="s">
        <v>61</v>
      </c>
      <c r="G25" s="24" t="s">
        <v>172</v>
      </c>
      <c r="H25" s="25">
        <v>46142</v>
      </c>
      <c r="I25" s="25">
        <v>46149</v>
      </c>
      <c r="J25" s="26">
        <f t="shared" si="0"/>
        <v>6</v>
      </c>
      <c r="K25" s="27">
        <f ca="1">IF(TODAY()&gt;=I25, 1, IF(TODAY()&lt;H25, 0, NETWORKDAYS(H25, TODAY())/NETWORKDAYS(H25, I25)))</f>
        <v>1</v>
      </c>
      <c r="L25" s="28">
        <f t="shared" ca="1" si="1"/>
        <v>0.34</v>
      </c>
      <c r="M25" s="29">
        <v>46142</v>
      </c>
      <c r="N25" s="29">
        <v>46149</v>
      </c>
      <c r="O25" s="30">
        <f t="shared" si="2"/>
        <v>6</v>
      </c>
      <c r="P25" s="33">
        <f ca="1">IF(TODAY()&gt;=N25, 1, IF(TODAY()&lt;M25, 0, NETWORKDAYS(M25, TODAY())/NETWORKDAYS(M25, N25)))</f>
        <v>1</v>
      </c>
      <c r="Q25" s="32">
        <f t="shared" ca="1" si="3"/>
        <v>0.34</v>
      </c>
      <c r="R25" s="6"/>
      <c r="S25" s="34">
        <f t="shared" ca="1" si="4"/>
        <v>0</v>
      </c>
      <c r="T25" s="7">
        <f t="shared" ca="1" si="5"/>
        <v>1</v>
      </c>
      <c r="U25" s="8" t="str">
        <f t="array" aca="1" ref="U25" ca="1">IF(S25="","",IF(AND(I25&lt;=CalcDay, T25&lt;1), "지연", IF(T25&lt;0.95,"지연",IF(P25=100%,"완료","진행중"))))</f>
        <v>완료</v>
      </c>
    </row>
    <row r="26" spans="1:21" ht="18" customHeight="1">
      <c r="A26" s="22" t="s">
        <v>62</v>
      </c>
      <c r="B26" s="15">
        <v>4</v>
      </c>
      <c r="C26" s="15" t="s">
        <v>23</v>
      </c>
      <c r="D26" s="15">
        <v>33</v>
      </c>
      <c r="E26" s="15"/>
      <c r="F26" s="17" t="s">
        <v>63</v>
      </c>
      <c r="G26" s="24" t="s">
        <v>171</v>
      </c>
      <c r="H26" s="25">
        <v>46149</v>
      </c>
      <c r="I26" s="25">
        <v>46151</v>
      </c>
      <c r="J26" s="26">
        <f t="shared" si="0"/>
        <v>2</v>
      </c>
      <c r="K26" s="27">
        <f ca="1">IF(TODAY()&gt;=I26, 1, IF(TODAY()&lt;H26, 0, NETWORKDAYS(H26, TODAY())/NETWORKDAYS(H26, I26)))</f>
        <v>1</v>
      </c>
      <c r="L26" s="28">
        <f t="shared" ca="1" si="1"/>
        <v>0.33</v>
      </c>
      <c r="M26" s="29">
        <v>46149</v>
      </c>
      <c r="N26" s="29">
        <v>46151</v>
      </c>
      <c r="O26" s="30">
        <f t="shared" si="2"/>
        <v>2</v>
      </c>
      <c r="P26" s="33">
        <f ca="1">IF(TODAY()&gt;=N26, 1, IF(TODAY()&lt;M26, 0, NETWORKDAYS(M26, TODAY())/NETWORKDAYS(M26, N26)))</f>
        <v>1</v>
      </c>
      <c r="Q26" s="32">
        <f t="shared" ca="1" si="3"/>
        <v>0.33</v>
      </c>
      <c r="R26" s="6"/>
      <c r="S26" s="34">
        <f t="shared" ca="1" si="4"/>
        <v>0</v>
      </c>
      <c r="T26" s="7">
        <f t="shared" ca="1" si="5"/>
        <v>1</v>
      </c>
      <c r="U26" s="8" t="str">
        <f t="array" aca="1" ref="U26" ca="1">IF(S26="","",IF(AND(I26&lt;=CalcDay, T26&lt;1), "지연", IF(T26&lt;0.95,"지연",IF(P26=100%,"완료","진행중"))))</f>
        <v>완료</v>
      </c>
    </row>
    <row r="27" spans="1:21" ht="18" customHeight="1">
      <c r="A27" s="20" t="s">
        <v>64</v>
      </c>
      <c r="B27" s="12">
        <v>3</v>
      </c>
      <c r="C27" s="12" t="s">
        <v>19</v>
      </c>
      <c r="D27" s="12">
        <v>17</v>
      </c>
      <c r="E27" s="12"/>
      <c r="F27" s="13"/>
      <c r="G27" s="14"/>
      <c r="H27" s="25">
        <f>MIN(H28:H29)</f>
        <v>46142</v>
      </c>
      <c r="I27" s="25">
        <f>MAX(I28:I29)</f>
        <v>46151</v>
      </c>
      <c r="J27" s="26">
        <f t="shared" si="0"/>
        <v>7</v>
      </c>
      <c r="K27" s="27">
        <f ca="1">SUM(L28:L29)</f>
        <v>1</v>
      </c>
      <c r="L27" s="28">
        <f t="shared" ca="1" si="1"/>
        <v>0.17</v>
      </c>
      <c r="M27" s="29">
        <v>46142</v>
      </c>
      <c r="N27" s="29">
        <v>46149</v>
      </c>
      <c r="O27" s="30">
        <f t="shared" si="2"/>
        <v>6</v>
      </c>
      <c r="P27" s="33">
        <f ca="1">SUM(Q28:Q29)</f>
        <v>1</v>
      </c>
      <c r="Q27" s="32">
        <f t="shared" ca="1" si="3"/>
        <v>0.17</v>
      </c>
      <c r="R27" s="6"/>
      <c r="S27" s="34">
        <f t="shared" ca="1" si="4"/>
        <v>0</v>
      </c>
      <c r="T27" s="7">
        <f t="shared" ca="1" si="5"/>
        <v>1</v>
      </c>
      <c r="U27" s="8" t="str">
        <f t="array" aca="1" ref="U27" ca="1">IF(S27="","",IF(AND(I27&lt;=CalcDay, T27&lt;1), "지연", IF(T27&lt;0.95,"지연",IF(P27=100%,"완료","진행중"))))</f>
        <v>완료</v>
      </c>
    </row>
    <row r="28" spans="1:21" ht="18" customHeight="1">
      <c r="A28" s="23" t="s">
        <v>65</v>
      </c>
      <c r="B28" s="15">
        <v>4</v>
      </c>
      <c r="C28" s="15" t="s">
        <v>23</v>
      </c>
      <c r="D28" s="15">
        <v>50</v>
      </c>
      <c r="E28" s="15"/>
      <c r="F28" s="17" t="s">
        <v>66</v>
      </c>
      <c r="G28" s="24" t="s">
        <v>170</v>
      </c>
      <c r="H28" s="25">
        <v>46142</v>
      </c>
      <c r="I28" s="25">
        <v>46149</v>
      </c>
      <c r="J28" s="26">
        <f t="shared" si="0"/>
        <v>6</v>
      </c>
      <c r="K28" s="27">
        <f ca="1">IF(TODAY()&gt;=I28, 1, IF(TODAY()&lt;H28, 0, NETWORKDAYS(H28, TODAY())/NETWORKDAYS(H28, I28)))</f>
        <v>1</v>
      </c>
      <c r="L28" s="28">
        <f t="shared" ca="1" si="1"/>
        <v>0.5</v>
      </c>
      <c r="M28" s="29">
        <v>46142</v>
      </c>
      <c r="N28" s="29">
        <v>46149</v>
      </c>
      <c r="O28" s="30">
        <f t="shared" si="2"/>
        <v>6</v>
      </c>
      <c r="P28" s="33">
        <f ca="1">IF(TODAY()&gt;=N28, 1, IF(TODAY()&lt;M28, 0, NETWORKDAYS(M28, TODAY())/NETWORKDAYS(M28, N28)))</f>
        <v>1</v>
      </c>
      <c r="Q28" s="32">
        <f t="shared" ca="1" si="3"/>
        <v>0.5</v>
      </c>
      <c r="R28" s="6"/>
      <c r="S28" s="34">
        <f t="shared" ca="1" si="4"/>
        <v>0</v>
      </c>
      <c r="T28" s="7">
        <f t="shared" ca="1" si="5"/>
        <v>1</v>
      </c>
      <c r="U28" s="8" t="str">
        <f t="array" aca="1" ref="U28" ca="1">IF(S28="","",IF(AND(I28&lt;=CalcDay, T28&lt;1), "지연", IF(T28&lt;0.95,"지연",IF(P28=100%,"완료","진행중"))))</f>
        <v>완료</v>
      </c>
    </row>
    <row r="29" spans="1:21" ht="18" customHeight="1">
      <c r="A29" s="22" t="s">
        <v>67</v>
      </c>
      <c r="B29" s="15">
        <v>4</v>
      </c>
      <c r="C29" s="15" t="s">
        <v>23</v>
      </c>
      <c r="D29" s="15">
        <v>50</v>
      </c>
      <c r="E29" s="15"/>
      <c r="F29" s="17" t="s">
        <v>68</v>
      </c>
      <c r="G29" s="24" t="s">
        <v>170</v>
      </c>
      <c r="H29" s="25">
        <v>46149</v>
      </c>
      <c r="I29" s="25">
        <v>46151</v>
      </c>
      <c r="J29" s="26">
        <f t="shared" si="0"/>
        <v>2</v>
      </c>
      <c r="K29" s="27">
        <f ca="1">IF(TODAY()&gt;=I29, 1, IF(TODAY()&lt;H29, 0, NETWORKDAYS(H29, TODAY())/NETWORKDAYS(H29, I29)))</f>
        <v>1</v>
      </c>
      <c r="L29" s="28">
        <f t="shared" ca="1" si="1"/>
        <v>0.5</v>
      </c>
      <c r="M29" s="29">
        <v>46149</v>
      </c>
      <c r="N29" s="29">
        <v>46151</v>
      </c>
      <c r="O29" s="30">
        <f t="shared" si="2"/>
        <v>2</v>
      </c>
      <c r="P29" s="33">
        <f ca="1">IF(TODAY()&gt;=N29, 1, IF(TODAY()&lt;M29, 0, NETWORKDAYS(M29, TODAY())/NETWORKDAYS(M29, N29)))</f>
        <v>1</v>
      </c>
      <c r="Q29" s="32">
        <f t="shared" ca="1" si="3"/>
        <v>0.5</v>
      </c>
      <c r="R29" s="6"/>
      <c r="S29" s="34">
        <f t="shared" ca="1" si="4"/>
        <v>0</v>
      </c>
      <c r="T29" s="7">
        <f t="shared" ca="1" si="5"/>
        <v>1</v>
      </c>
      <c r="U29" s="8" t="str">
        <f t="array" aca="1" ref="U29" ca="1">IF(S29="","",IF(AND(I29&lt;=CalcDay, T29&lt;1), "지연", IF(T29&lt;0.95,"지연",IF(P29=100%,"완료","진행중"))))</f>
        <v>완료</v>
      </c>
    </row>
    <row r="30" spans="1:21" ht="18" customHeight="1">
      <c r="A30" s="20" t="s">
        <v>69</v>
      </c>
      <c r="B30" s="12">
        <v>3</v>
      </c>
      <c r="C30" s="12" t="s">
        <v>19</v>
      </c>
      <c r="D30" s="12">
        <v>50</v>
      </c>
      <c r="E30" s="12"/>
      <c r="F30" s="13"/>
      <c r="G30" s="14"/>
      <c r="H30" s="25">
        <f>MIN(H31:H34)</f>
        <v>46157</v>
      </c>
      <c r="I30" s="25">
        <f>MAX(I31:I34)</f>
        <v>46163</v>
      </c>
      <c r="J30" s="26">
        <f t="shared" si="0"/>
        <v>5</v>
      </c>
      <c r="K30" s="27">
        <f>SUM(L31:L34)</f>
        <v>1</v>
      </c>
      <c r="L30" s="28">
        <f t="shared" si="1"/>
        <v>0.5</v>
      </c>
      <c r="M30" s="29">
        <v>46157</v>
      </c>
      <c r="N30" s="29">
        <v>46159</v>
      </c>
      <c r="O30" s="30">
        <f t="shared" si="2"/>
        <v>1</v>
      </c>
      <c r="P30" s="33">
        <f ca="1">SUM(Q31:Q34)</f>
        <v>1</v>
      </c>
      <c r="Q30" s="32">
        <f t="shared" ca="1" si="3"/>
        <v>0.5</v>
      </c>
      <c r="R30" s="6"/>
      <c r="S30" s="34">
        <f t="shared" ca="1" si="4"/>
        <v>0</v>
      </c>
      <c r="T30" s="7">
        <f t="shared" ca="1" si="5"/>
        <v>1</v>
      </c>
      <c r="U30" s="8" t="str">
        <f t="array" aca="1" ref="U30" ca="1">IF(S30="","",IF(AND(I30&lt;=CalcDay, T30&lt;1), "지연", IF(T30&lt;0.95,"지연",IF(P30=100%,"완료","진행중"))))</f>
        <v>완료</v>
      </c>
    </row>
    <row r="31" spans="1:21" ht="18" customHeight="1">
      <c r="A31" s="23" t="s">
        <v>70</v>
      </c>
      <c r="B31" s="15">
        <v>4</v>
      </c>
      <c r="C31" s="15" t="s">
        <v>23</v>
      </c>
      <c r="D31" s="15">
        <v>25</v>
      </c>
      <c r="E31" s="15"/>
      <c r="F31" s="17" t="s">
        <v>71</v>
      </c>
      <c r="G31" s="24" t="s">
        <v>72</v>
      </c>
      <c r="H31" s="25">
        <v>46157</v>
      </c>
      <c r="I31" s="25">
        <v>46159</v>
      </c>
      <c r="J31" s="26">
        <f t="shared" si="0"/>
        <v>1</v>
      </c>
      <c r="K31" s="27">
        <v>1</v>
      </c>
      <c r="L31" s="28">
        <f t="shared" si="1"/>
        <v>0.25</v>
      </c>
      <c r="M31" s="29">
        <v>46157</v>
      </c>
      <c r="N31" s="29">
        <v>46159</v>
      </c>
      <c r="O31" s="30">
        <f t="shared" si="2"/>
        <v>1</v>
      </c>
      <c r="P31" s="33">
        <f ca="1">IF(TODAY()&gt;=N31, 1, IF(TODAY()&lt;M31, 0, NETWORKDAYS(M31, TODAY())/NETWORKDAYS(M31, N31)))</f>
        <v>1</v>
      </c>
      <c r="Q31" s="32">
        <f t="shared" ca="1" si="3"/>
        <v>0.25</v>
      </c>
      <c r="R31" s="6"/>
      <c r="S31" s="34">
        <f t="shared" ca="1" si="4"/>
        <v>0</v>
      </c>
      <c r="T31" s="7">
        <f t="shared" ca="1" si="5"/>
        <v>1</v>
      </c>
      <c r="U31" s="8" t="str">
        <f t="array" aca="1" ref="U31" ca="1">IF(S31="","",IF(AND(I31&lt;=CalcDay, T31&lt;1), "지연", IF(T31&lt;0.95,"지연",IF(P31=100%,"완료","진행중"))))</f>
        <v>완료</v>
      </c>
    </row>
    <row r="32" spans="1:21" ht="18" customHeight="1">
      <c r="A32" s="23" t="s">
        <v>73</v>
      </c>
      <c r="B32" s="15">
        <v>4</v>
      </c>
      <c r="C32" s="15" t="s">
        <v>23</v>
      </c>
      <c r="D32" s="15">
        <v>25</v>
      </c>
      <c r="E32" s="15"/>
      <c r="F32" s="17" t="s">
        <v>74</v>
      </c>
      <c r="G32" s="24" t="s">
        <v>72</v>
      </c>
      <c r="H32" s="25">
        <v>46157</v>
      </c>
      <c r="I32" s="25">
        <v>46159</v>
      </c>
      <c r="J32" s="26">
        <f t="shared" si="0"/>
        <v>1</v>
      </c>
      <c r="K32" s="27">
        <v>1</v>
      </c>
      <c r="L32" s="28">
        <f t="shared" si="1"/>
        <v>0.25</v>
      </c>
      <c r="M32" s="29">
        <v>46157</v>
      </c>
      <c r="N32" s="29">
        <v>46159</v>
      </c>
      <c r="O32" s="30">
        <f t="shared" si="2"/>
        <v>1</v>
      </c>
      <c r="P32" s="33">
        <f ca="1">IF(TODAY()&gt;=N32, 1, IF(TODAY()&lt;M32, 0, NETWORKDAYS(M32, TODAY())/NETWORKDAYS(M32, N32)))</f>
        <v>1</v>
      </c>
      <c r="Q32" s="32">
        <f t="shared" ca="1" si="3"/>
        <v>0.25</v>
      </c>
      <c r="R32" s="6"/>
      <c r="S32" s="34">
        <f t="shared" ca="1" si="4"/>
        <v>0</v>
      </c>
      <c r="T32" s="7">
        <f t="shared" ca="1" si="5"/>
        <v>1</v>
      </c>
      <c r="U32" s="8" t="str">
        <f t="array" aca="1" ref="U32" ca="1">IF(S32="","",IF(AND(I32&lt;=CalcDay, T32&lt;1), "지연", IF(T32&lt;0.95,"지연",IF(P32=100%,"완료","진행중"))))</f>
        <v>완료</v>
      </c>
    </row>
    <row r="33" spans="1:21" ht="18" customHeight="1">
      <c r="A33" s="23" t="s">
        <v>75</v>
      </c>
      <c r="B33" s="15">
        <v>4</v>
      </c>
      <c r="C33" s="15" t="s">
        <v>23</v>
      </c>
      <c r="D33" s="15">
        <v>25</v>
      </c>
      <c r="E33" s="15"/>
      <c r="F33" s="17" t="s">
        <v>76</v>
      </c>
      <c r="G33" s="24" t="s">
        <v>72</v>
      </c>
      <c r="H33" s="25">
        <v>46159</v>
      </c>
      <c r="I33" s="25">
        <v>46161</v>
      </c>
      <c r="J33" s="26">
        <f t="shared" si="0"/>
        <v>2</v>
      </c>
      <c r="K33" s="27">
        <v>1</v>
      </c>
      <c r="L33" s="28">
        <f t="shared" si="1"/>
        <v>0.25</v>
      </c>
      <c r="M33" s="29">
        <v>46159</v>
      </c>
      <c r="N33" s="29">
        <v>46161</v>
      </c>
      <c r="O33" s="30">
        <f t="shared" si="2"/>
        <v>2</v>
      </c>
      <c r="P33" s="33">
        <f ca="1">IF(TODAY()&gt;=N33, 1, IF(TODAY()&lt;M33, 0, NETWORKDAYS(M33, TODAY())/NETWORKDAYS(M33, N33)))</f>
        <v>1</v>
      </c>
      <c r="Q33" s="32">
        <f t="shared" ca="1" si="3"/>
        <v>0.25</v>
      </c>
      <c r="R33" s="6"/>
      <c r="S33" s="34">
        <f t="shared" ca="1" si="4"/>
        <v>0</v>
      </c>
      <c r="T33" s="7">
        <f t="shared" ca="1" si="5"/>
        <v>1</v>
      </c>
      <c r="U33" s="8" t="str">
        <f t="array" aca="1" ref="U33" ca="1">IF(S33="","",IF(AND(I33&lt;=CalcDay, T33&lt;1), "지연", IF(T33&lt;0.95,"지연",IF(P33=100%,"완료","진행중"))))</f>
        <v>완료</v>
      </c>
    </row>
    <row r="34" spans="1:21" ht="18" customHeight="1">
      <c r="A34" s="23" t="s">
        <v>77</v>
      </c>
      <c r="B34" s="15">
        <v>4</v>
      </c>
      <c r="C34" s="15" t="s">
        <v>23</v>
      </c>
      <c r="D34" s="15">
        <v>25</v>
      </c>
      <c r="E34" s="15"/>
      <c r="F34" s="17" t="s">
        <v>78</v>
      </c>
      <c r="G34" s="24" t="s">
        <v>72</v>
      </c>
      <c r="H34" s="25">
        <v>46161</v>
      </c>
      <c r="I34" s="25">
        <v>46163</v>
      </c>
      <c r="J34" s="26">
        <f t="shared" si="0"/>
        <v>3</v>
      </c>
      <c r="K34" s="27">
        <v>1</v>
      </c>
      <c r="L34" s="28">
        <f t="shared" si="1"/>
        <v>0.25</v>
      </c>
      <c r="M34" s="29">
        <v>46161</v>
      </c>
      <c r="N34" s="29">
        <v>46163</v>
      </c>
      <c r="O34" s="30">
        <f t="shared" si="2"/>
        <v>3</v>
      </c>
      <c r="P34" s="33">
        <f ca="1">IF(TODAY()&gt;=N34, 1, IF(TODAY()&lt;M34, 0, NETWORKDAYS(M34, TODAY())/NETWORKDAYS(M34, N34)))</f>
        <v>1</v>
      </c>
      <c r="Q34" s="32">
        <f t="shared" ca="1" si="3"/>
        <v>0.25</v>
      </c>
      <c r="R34" s="6"/>
      <c r="S34" s="34">
        <f t="shared" ca="1" si="4"/>
        <v>0</v>
      </c>
      <c r="T34" s="7">
        <f t="shared" ca="1" si="5"/>
        <v>1</v>
      </c>
      <c r="U34" s="8" t="str">
        <f t="array" aca="1" ref="U34" ca="1">IF(S34="","",IF(AND(I34&lt;=CalcDay, T34&lt;1), "지연", IF(T34&lt;0.95,"지연",IF(P34=100%,"완료","진행중"))))</f>
        <v>완료</v>
      </c>
    </row>
    <row r="35" spans="1:21" ht="18" customHeight="1">
      <c r="A35" s="19" t="s">
        <v>79</v>
      </c>
      <c r="B35" s="9">
        <v>2</v>
      </c>
      <c r="C35" s="9" t="s">
        <v>19</v>
      </c>
      <c r="D35" s="9">
        <v>25</v>
      </c>
      <c r="E35" s="9"/>
      <c r="F35" s="10"/>
      <c r="G35" s="11"/>
      <c r="H35" s="25">
        <f>MIN(H36:H59)</f>
        <v>46140</v>
      </c>
      <c r="I35" s="25">
        <f>MAX(I36:I59)</f>
        <v>46163</v>
      </c>
      <c r="J35" s="26">
        <f>NETWORKDAYS(H35,I35)</f>
        <v>18</v>
      </c>
      <c r="K35" s="27">
        <f ca="1">SUM(L36,L40,L44,L50,L53,L56)</f>
        <v>1.0000000000000002</v>
      </c>
      <c r="L35" s="28">
        <f ca="1">$D35*K35/100</f>
        <v>0.25000000000000006</v>
      </c>
      <c r="M35" s="29">
        <v>46140</v>
      </c>
      <c r="N35" s="29">
        <v>46163</v>
      </c>
      <c r="O35" s="30">
        <f>NETWORKDAYS(M35,N35)</f>
        <v>18</v>
      </c>
      <c r="P35" s="33">
        <f ca="1">SUM(Q36,Q40,Q44,Q50,Q53,Q56)</f>
        <v>1.0000000000000002</v>
      </c>
      <c r="Q35" s="32">
        <f ca="1">$D35*P35/100</f>
        <v>0.25000000000000006</v>
      </c>
      <c r="R35" s="6"/>
      <c r="S35" s="34">
        <f t="shared" ref="S35:S55" ca="1" si="6">IF(AND(K30=0,P30=0), "", P30-K30)</f>
        <v>0</v>
      </c>
      <c r="T35" s="7">
        <f t="shared" ca="1" si="5"/>
        <v>1</v>
      </c>
      <c r="U35" s="8" t="str">
        <f t="array" aca="1" ref="U35" ca="1">IF(S35="","",IF(AND(I35&lt;=CalcDay, T35&lt;1), "지연", IF(T35&lt;0.95,"지연",IF(P35=100%,"완료","진행중"))))</f>
        <v>완료</v>
      </c>
    </row>
    <row r="36" spans="1:21" ht="18" customHeight="1">
      <c r="A36" s="20" t="s">
        <v>80</v>
      </c>
      <c r="B36" s="12">
        <v>3</v>
      </c>
      <c r="C36" s="12" t="s">
        <v>19</v>
      </c>
      <c r="D36" s="12">
        <v>20</v>
      </c>
      <c r="E36" s="12"/>
      <c r="F36" s="13"/>
      <c r="G36" s="14"/>
      <c r="H36" s="25">
        <f>MIN(H37:H39)</f>
        <v>46140</v>
      </c>
      <c r="I36" s="25">
        <f>MAX(I37:I39)</f>
        <v>46144</v>
      </c>
      <c r="J36" s="26">
        <f>NETWORKDAYS(H36,I36)</f>
        <v>4</v>
      </c>
      <c r="K36" s="27">
        <f ca="1">SUM(L37:L39)</f>
        <v>1</v>
      </c>
      <c r="L36" s="28">
        <f ca="1">$D36*K36/100</f>
        <v>0.2</v>
      </c>
      <c r="M36" s="29">
        <v>46140</v>
      </c>
      <c r="N36" s="29">
        <v>46144</v>
      </c>
      <c r="O36" s="30">
        <f>NETWORKDAYS(M36,N36)</f>
        <v>4</v>
      </c>
      <c r="P36" s="33">
        <f ca="1">SUM(Q37:Q39)</f>
        <v>1</v>
      </c>
      <c r="Q36" s="32">
        <f ca="1">$D36*P36/100</f>
        <v>0.2</v>
      </c>
      <c r="R36" s="6"/>
      <c r="S36" s="34">
        <f t="shared" ca="1" si="6"/>
        <v>0</v>
      </c>
      <c r="T36" s="7">
        <f t="shared" ca="1" si="5"/>
        <v>1</v>
      </c>
      <c r="U36" s="8" t="str">
        <f t="array" aca="1" ref="U36" ca="1">IF(S36="","",IF(AND(I36&lt;=CalcDay, T36&lt;1), "지연", IF(T36&lt;0.95,"지연",IF(P36=100%,"완료","진행중"))))</f>
        <v>완료</v>
      </c>
    </row>
    <row r="37" spans="1:21" ht="18" customHeight="1">
      <c r="A37" s="23" t="s">
        <v>81</v>
      </c>
      <c r="B37" s="15">
        <v>4</v>
      </c>
      <c r="C37" s="15" t="s">
        <v>23</v>
      </c>
      <c r="D37" s="15">
        <v>34</v>
      </c>
      <c r="E37" s="15"/>
      <c r="F37" s="16" t="s">
        <v>82</v>
      </c>
      <c r="G37" s="24" t="s">
        <v>52</v>
      </c>
      <c r="H37" s="25">
        <v>46140</v>
      </c>
      <c r="I37" s="25">
        <v>46141</v>
      </c>
      <c r="J37" s="26">
        <f>NETWORKDAYS(H37,I37)</f>
        <v>2</v>
      </c>
      <c r="K37" s="27">
        <f ca="1">IF(TODAY()&gt;=I32, 1, IF(TODAY()&lt;H32, 0, NETWORKDAYS(H32, TODAY())/NETWORKDAYS(H32, I32)))</f>
        <v>1</v>
      </c>
      <c r="L37" s="28">
        <f ca="1">$D37*K37/100</f>
        <v>0.34</v>
      </c>
      <c r="M37" s="29">
        <v>46140</v>
      </c>
      <c r="N37" s="29">
        <v>46141</v>
      </c>
      <c r="O37" s="30">
        <f>NETWORKDAYS(M37,N37)</f>
        <v>2</v>
      </c>
      <c r="P37" s="33">
        <f ca="1">IF(TODAY()&gt;=N37, 1, IF(TODAY()&lt;M37, 0, NETWORKDAYS(M37, TODAY())/NETWORKDAYS(M37, N37)))</f>
        <v>1</v>
      </c>
      <c r="Q37" s="32">
        <f ca="1">$D37*P37/100</f>
        <v>0.34</v>
      </c>
      <c r="R37" s="6"/>
      <c r="S37" s="34">
        <f t="shared" ca="1" si="6"/>
        <v>0</v>
      </c>
      <c r="T37" s="7">
        <f t="shared" ca="1" si="5"/>
        <v>1</v>
      </c>
      <c r="U37" s="8" t="str">
        <f t="array" aca="1" ref="U37" ca="1">IF(S37="","",IF(AND(I37&lt;=CalcDay, T37&lt;1), "지연", IF(T37&lt;0.95,"지연",IF(P37=100%,"완료","진행중"))))</f>
        <v>완료</v>
      </c>
    </row>
    <row r="38" spans="1:21" ht="18" customHeight="1">
      <c r="A38" s="23" t="s">
        <v>83</v>
      </c>
      <c r="B38" s="15">
        <v>4</v>
      </c>
      <c r="C38" s="15" t="s">
        <v>23</v>
      </c>
      <c r="D38" s="15">
        <v>33</v>
      </c>
      <c r="E38" s="15"/>
      <c r="F38" s="17" t="s">
        <v>84</v>
      </c>
      <c r="G38" s="24" t="s">
        <v>52</v>
      </c>
      <c r="H38" s="25">
        <v>46141</v>
      </c>
      <c r="I38" s="25">
        <v>46143</v>
      </c>
      <c r="J38" s="26">
        <f>NETWORKDAYS(H38,I38)</f>
        <v>3</v>
      </c>
      <c r="K38" s="27">
        <f ca="1">IF(TODAY()&gt;=I33, 1, IF(TODAY()&lt;H33, 0, NETWORKDAYS(H33, TODAY())/NETWORKDAYS(H33, I33)))</f>
        <v>1</v>
      </c>
      <c r="L38" s="28">
        <f ca="1">$D38*K38/100</f>
        <v>0.33</v>
      </c>
      <c r="M38" s="29">
        <v>46141</v>
      </c>
      <c r="N38" s="29">
        <v>46143</v>
      </c>
      <c r="O38" s="30">
        <f>NETWORKDAYS(M38,N38)</f>
        <v>3</v>
      </c>
      <c r="P38" s="33">
        <f ca="1">IF(TODAY()&gt;=N38, 1, IF(TODAY()&lt;M38, 0, NETWORKDAYS(M38, TODAY())/NETWORKDAYS(M38, N38)))</f>
        <v>1</v>
      </c>
      <c r="Q38" s="32">
        <f ca="1">$D38*P38/100</f>
        <v>0.33</v>
      </c>
      <c r="R38" s="6"/>
      <c r="S38" s="34">
        <f t="shared" ca="1" si="6"/>
        <v>0</v>
      </c>
      <c r="T38" s="7">
        <f t="shared" ca="1" si="5"/>
        <v>1</v>
      </c>
      <c r="U38" s="8" t="str">
        <f t="array" aca="1" ref="U38" ca="1">IF(S38="","",IF(AND(I38&lt;=CalcDay, T38&lt;1), "지연", IF(T38&lt;0.95,"지연",IF(P38=100%,"완료","진행중"))))</f>
        <v>완료</v>
      </c>
    </row>
    <row r="39" spans="1:21" ht="18" customHeight="1">
      <c r="A39" s="23" t="s">
        <v>85</v>
      </c>
      <c r="B39" s="15">
        <v>4</v>
      </c>
      <c r="C39" s="15" t="s">
        <v>23</v>
      </c>
      <c r="D39" s="15">
        <v>33</v>
      </c>
      <c r="E39" s="15"/>
      <c r="F39" s="17" t="s">
        <v>86</v>
      </c>
      <c r="G39" s="24" t="s">
        <v>52</v>
      </c>
      <c r="H39" s="25">
        <v>46143</v>
      </c>
      <c r="I39" s="25">
        <v>46144</v>
      </c>
      <c r="J39" s="26">
        <f>NETWORKDAYS(H39,I39)</f>
        <v>1</v>
      </c>
      <c r="K39" s="27">
        <f ca="1">IF(TODAY()&gt;=I34, 1, IF(TODAY()&lt;H34, 0, NETWORKDAYS(H34, TODAY())/NETWORKDAYS(H34, I34)))</f>
        <v>1</v>
      </c>
      <c r="L39" s="28">
        <f ca="1">$D39*K39/100</f>
        <v>0.33</v>
      </c>
      <c r="M39" s="29">
        <v>46143</v>
      </c>
      <c r="N39" s="29">
        <v>46144</v>
      </c>
      <c r="O39" s="30">
        <f>NETWORKDAYS(M39,N39)</f>
        <v>1</v>
      </c>
      <c r="P39" s="33">
        <f ca="1">IF(TODAY()&gt;=N39, 1, IF(TODAY()&lt;M39, 0, NETWORKDAYS(M39, TODAY())/NETWORKDAYS(M39, N39)))</f>
        <v>1</v>
      </c>
      <c r="Q39" s="32">
        <f ca="1">$D39*P39/100</f>
        <v>0.33</v>
      </c>
      <c r="R39" s="6"/>
      <c r="S39" s="34">
        <f t="shared" ca="1" si="6"/>
        <v>0</v>
      </c>
      <c r="T39" s="7">
        <f t="shared" ca="1" si="5"/>
        <v>1</v>
      </c>
      <c r="U39" s="8" t="str">
        <f t="array" aca="1" ref="U39" ca="1">IF(S39="","",IF(AND(I39&lt;=CalcDay, T39&lt;1), "지연", IF(T39&lt;0.95,"지연",IF(P39=100%,"완료","진행중"))))</f>
        <v>완료</v>
      </c>
    </row>
    <row r="40" spans="1:21" ht="18" customHeight="1">
      <c r="A40" s="20" t="s">
        <v>87</v>
      </c>
      <c r="B40" s="12">
        <v>3</v>
      </c>
      <c r="C40" s="12" t="s">
        <v>19</v>
      </c>
      <c r="D40" s="12">
        <v>20</v>
      </c>
      <c r="E40" s="12"/>
      <c r="F40" s="13"/>
      <c r="G40" s="14"/>
      <c r="H40" s="25">
        <f>MIN(H41:H43)</f>
        <v>46144</v>
      </c>
      <c r="I40" s="25">
        <f>MAX(I41:I43)</f>
        <v>46155</v>
      </c>
      <c r="J40" s="26">
        <f>NETWORKDAYS(H40,I40)</f>
        <v>8</v>
      </c>
      <c r="K40" s="27">
        <f ca="1">SUM(L41:L43)</f>
        <v>1</v>
      </c>
      <c r="L40" s="28">
        <f ca="1">$D40*K40/100</f>
        <v>0.2</v>
      </c>
      <c r="M40" s="29">
        <v>46144</v>
      </c>
      <c r="N40" s="29">
        <v>46155</v>
      </c>
      <c r="O40" s="30">
        <f>NETWORKDAYS(M40,N40)</f>
        <v>8</v>
      </c>
      <c r="P40" s="33">
        <f ca="1">SUM(Q41:Q43)</f>
        <v>1</v>
      </c>
      <c r="Q40" s="32">
        <f ca="1">$D40*P40/100</f>
        <v>0.2</v>
      </c>
      <c r="R40" s="6"/>
      <c r="S40" s="34">
        <f t="shared" ca="1" si="6"/>
        <v>0</v>
      </c>
      <c r="T40" s="7">
        <f t="shared" ca="1" si="5"/>
        <v>1</v>
      </c>
      <c r="U40" s="8" t="str">
        <f t="array" aca="1" ref="U40" ca="1">IF(S40="","",IF(AND(I40&lt;=CalcDay, T40&lt;1), "지연", IF(T40&lt;0.95,"지연",IF(P40=100%,"완료","진행중"))))</f>
        <v>완료</v>
      </c>
    </row>
    <row r="41" spans="1:21" ht="18" customHeight="1">
      <c r="A41" s="23" t="s">
        <v>88</v>
      </c>
      <c r="B41" s="15">
        <v>4</v>
      </c>
      <c r="C41" s="15" t="s">
        <v>23</v>
      </c>
      <c r="D41" s="15">
        <v>34</v>
      </c>
      <c r="E41" s="15"/>
      <c r="F41" s="17" t="s">
        <v>89</v>
      </c>
      <c r="G41" s="24" t="s">
        <v>52</v>
      </c>
      <c r="H41" s="25">
        <v>46144</v>
      </c>
      <c r="I41" s="25">
        <v>46148</v>
      </c>
      <c r="J41" s="26">
        <f>NETWORKDAYS(H41,I41)</f>
        <v>3</v>
      </c>
      <c r="K41" s="27">
        <f ca="1">IF(TODAY()&gt;=I36, 1, IF(TODAY()&lt;H36, 0, NETWORKDAYS(H36, TODAY())/NETWORKDAYS(H36, I36)))</f>
        <v>1</v>
      </c>
      <c r="L41" s="28">
        <f ca="1">$D41*K41/100</f>
        <v>0.34</v>
      </c>
      <c r="M41" s="29">
        <v>46144</v>
      </c>
      <c r="N41" s="29">
        <v>46148</v>
      </c>
      <c r="O41" s="30">
        <f>NETWORKDAYS(M41,N41)</f>
        <v>3</v>
      </c>
      <c r="P41" s="33">
        <f ca="1">IF(TODAY()&gt;=N41, 1, IF(TODAY()&lt;M41, 0, NETWORKDAYS(M41, TODAY())/NETWORKDAYS(M41, N41)))</f>
        <v>1</v>
      </c>
      <c r="Q41" s="32">
        <f ca="1">$D41*P41/100</f>
        <v>0.34</v>
      </c>
      <c r="R41" s="6"/>
      <c r="S41" s="34">
        <f t="shared" ca="1" si="6"/>
        <v>0</v>
      </c>
      <c r="T41" s="7">
        <f t="shared" ca="1" si="5"/>
        <v>1</v>
      </c>
      <c r="U41" s="8" t="str">
        <f t="array" aca="1" ref="U41" ca="1">IF(S41="","",IF(AND(I41&lt;=CalcDay, T41&lt;1), "지연", IF(T41&lt;0.95,"지연",IF(P41=100%,"완료","진행중"))))</f>
        <v>완료</v>
      </c>
    </row>
    <row r="42" spans="1:21" ht="18" customHeight="1">
      <c r="A42" s="22" t="s">
        <v>90</v>
      </c>
      <c r="B42" s="15">
        <v>4</v>
      </c>
      <c r="C42" s="15" t="s">
        <v>23</v>
      </c>
      <c r="D42" s="15">
        <v>33</v>
      </c>
      <c r="E42" s="15"/>
      <c r="F42" s="16" t="s">
        <v>91</v>
      </c>
      <c r="G42" s="24" t="s">
        <v>52</v>
      </c>
      <c r="H42" s="25">
        <v>46148</v>
      </c>
      <c r="I42" s="25">
        <v>46151</v>
      </c>
      <c r="J42" s="26">
        <f>NETWORKDAYS(H42,I42)</f>
        <v>3</v>
      </c>
      <c r="K42" s="27">
        <f ca="1">IF(TODAY()&gt;=I37, 1, IF(TODAY()&lt;H37, 0, NETWORKDAYS(H37, TODAY())/NETWORKDAYS(H37, I37)))</f>
        <v>1</v>
      </c>
      <c r="L42" s="28">
        <f ca="1">$D42*K42/100</f>
        <v>0.33</v>
      </c>
      <c r="M42" s="29">
        <v>46148</v>
      </c>
      <c r="N42" s="29">
        <v>46151</v>
      </c>
      <c r="O42" s="30">
        <f>NETWORKDAYS(M42,N42)</f>
        <v>3</v>
      </c>
      <c r="P42" s="33">
        <f ca="1">IF(TODAY()&gt;=N42, 1, IF(TODAY()&lt;M42, 0, NETWORKDAYS(M42, TODAY())/NETWORKDAYS(M42, N42)))</f>
        <v>1</v>
      </c>
      <c r="Q42" s="32">
        <f ca="1">$D42*P42/100</f>
        <v>0.33</v>
      </c>
      <c r="R42" s="6"/>
      <c r="S42" s="34">
        <f t="shared" ca="1" si="6"/>
        <v>0</v>
      </c>
      <c r="T42" s="7">
        <f t="shared" ca="1" si="5"/>
        <v>1</v>
      </c>
      <c r="U42" s="8" t="str">
        <f t="array" aca="1" ref="U42" ca="1">IF(S42="","",IF(AND(I42&lt;=CalcDay, T42&lt;1), "지연", IF(T42&lt;0.95,"지연",IF(P42=100%,"완료","진행중"))))</f>
        <v>완료</v>
      </c>
    </row>
    <row r="43" spans="1:21" ht="18" customHeight="1">
      <c r="A43" s="22" t="s">
        <v>92</v>
      </c>
      <c r="B43" s="15">
        <v>4</v>
      </c>
      <c r="C43" s="15" t="s">
        <v>23</v>
      </c>
      <c r="D43" s="15">
        <v>33</v>
      </c>
      <c r="E43" s="15"/>
      <c r="F43" s="16" t="s">
        <v>93</v>
      </c>
      <c r="G43" s="24" t="s">
        <v>52</v>
      </c>
      <c r="H43" s="25">
        <v>46151</v>
      </c>
      <c r="I43" s="25">
        <v>46155</v>
      </c>
      <c r="J43" s="26">
        <f>NETWORKDAYS(H43,I43)</f>
        <v>3</v>
      </c>
      <c r="K43" s="27">
        <f ca="1">IF(TODAY()&gt;=I38, 1, IF(TODAY()&lt;H38, 0, NETWORKDAYS(H38, TODAY())/NETWORKDAYS(H38, I38)))</f>
        <v>1</v>
      </c>
      <c r="L43" s="28">
        <f ca="1">$D43*K43/100</f>
        <v>0.33</v>
      </c>
      <c r="M43" s="29">
        <v>46148</v>
      </c>
      <c r="N43" s="29">
        <v>46155</v>
      </c>
      <c r="O43" s="30">
        <f>NETWORKDAYS(M43,N43)</f>
        <v>6</v>
      </c>
      <c r="P43" s="33">
        <f ca="1">IF(TODAY()&gt;=N43, 1, IF(TODAY()&lt;M43, 0, NETWORKDAYS(M43, TODAY())/NETWORKDAYS(M43, N43)))</f>
        <v>1</v>
      </c>
      <c r="Q43" s="32">
        <f ca="1">$D43*P43/100</f>
        <v>0.33</v>
      </c>
      <c r="R43" s="6"/>
      <c r="S43" s="34">
        <f t="shared" ca="1" si="6"/>
        <v>0</v>
      </c>
      <c r="T43" s="7">
        <f t="shared" ca="1" si="5"/>
        <v>1</v>
      </c>
      <c r="U43" s="8" t="str">
        <f t="array" aca="1" ref="U43" ca="1">IF(S43="","",IF(AND(I43&lt;=CalcDay, T43&lt;1), "지연", IF(T43&lt;0.95,"지연",IF(P43=100%,"완료","진행중"))))</f>
        <v>완료</v>
      </c>
    </row>
    <row r="44" spans="1:21" ht="18" customHeight="1">
      <c r="A44" s="20" t="s">
        <v>94</v>
      </c>
      <c r="B44" s="12">
        <v>3</v>
      </c>
      <c r="C44" s="12" t="s">
        <v>19</v>
      </c>
      <c r="D44" s="12">
        <v>20</v>
      </c>
      <c r="E44" s="12"/>
      <c r="F44" s="13"/>
      <c r="G44" s="14"/>
      <c r="H44" s="25">
        <f>MIN(H45:H49)</f>
        <v>46146</v>
      </c>
      <c r="I44" s="25">
        <f>MAX(I45:I49)</f>
        <v>46150</v>
      </c>
      <c r="J44" s="26">
        <f>NETWORKDAYS(H44,I44)</f>
        <v>5</v>
      </c>
      <c r="K44" s="27">
        <f ca="1">SUM(L45:L49)</f>
        <v>1</v>
      </c>
      <c r="L44" s="28">
        <f ca="1">$D44*K44/100</f>
        <v>0.2</v>
      </c>
      <c r="M44" s="29">
        <v>46146</v>
      </c>
      <c r="N44" s="29">
        <v>46150</v>
      </c>
      <c r="O44" s="30">
        <f t="shared" ref="O36:O55" si="7">NETWORKDAYS(M39,N39)</f>
        <v>1</v>
      </c>
      <c r="P44" s="33">
        <f ca="1">SUM(Q45:Q49)</f>
        <v>1</v>
      </c>
      <c r="Q44" s="32">
        <f ca="1">$D44*P44/100</f>
        <v>0.2</v>
      </c>
      <c r="R44" s="6"/>
      <c r="S44" s="34">
        <f t="shared" ca="1" si="6"/>
        <v>0</v>
      </c>
      <c r="T44" s="7">
        <f t="shared" ca="1" si="5"/>
        <v>1</v>
      </c>
      <c r="U44" s="8" t="str">
        <f t="array" aca="1" ref="U44" ca="1">IF(S44="","",IF(AND(I44&lt;=CalcDay, T44&lt;1), "지연", IF(T44&lt;0.95,"지연",IF(P44=100%,"완료","진행중"))))</f>
        <v>완료</v>
      </c>
    </row>
    <row r="45" spans="1:21" ht="18" customHeight="1">
      <c r="A45" s="23" t="s">
        <v>95</v>
      </c>
      <c r="B45" s="15">
        <v>4</v>
      </c>
      <c r="C45" s="15" t="s">
        <v>23</v>
      </c>
      <c r="D45" s="15">
        <v>20</v>
      </c>
      <c r="E45" s="15"/>
      <c r="F45" s="17" t="s">
        <v>96</v>
      </c>
      <c r="G45" s="24" t="s">
        <v>52</v>
      </c>
      <c r="H45" s="25">
        <v>46146</v>
      </c>
      <c r="I45" s="25">
        <v>46150</v>
      </c>
      <c r="J45" s="26">
        <f>NETWORKDAYS(H45,I45)</f>
        <v>5</v>
      </c>
      <c r="K45" s="27">
        <f ca="1">IF(TODAY()&gt;=I40, 1, IF(TODAY()&lt;H40, 0, NETWORKDAYS(H40, TODAY())/NETWORKDAYS(H40, I40)))</f>
        <v>1</v>
      </c>
      <c r="L45" s="28">
        <f ca="1">$D45*K45/100</f>
        <v>0.2</v>
      </c>
      <c r="M45" s="29">
        <v>46146</v>
      </c>
      <c r="N45" s="29">
        <v>46150</v>
      </c>
      <c r="O45" s="30">
        <f>NETWORKDAYS(M45,N45)</f>
        <v>5</v>
      </c>
      <c r="P45" s="33">
        <f ca="1">IF(TODAY()&gt;=N45, 1, IF(TODAY()&lt;M45, 0, NETWORKDAYS(M45, TODAY())/NETWORKDAYS(M45, N45)))</f>
        <v>1</v>
      </c>
      <c r="Q45" s="32">
        <f ca="1">$D45*P45/100</f>
        <v>0.2</v>
      </c>
      <c r="R45" s="6"/>
      <c r="S45" s="34">
        <f t="shared" ca="1" si="6"/>
        <v>0</v>
      </c>
      <c r="T45" s="7">
        <f t="shared" ca="1" si="5"/>
        <v>1</v>
      </c>
      <c r="U45" s="8" t="str">
        <f t="array" aca="1" ref="U45" ca="1">IF(S45="","",IF(AND(I45&lt;=CalcDay, T45&lt;1), "지연", IF(T45&lt;0.95,"지연",IF(P45=100%,"완료","진행중"))))</f>
        <v>완료</v>
      </c>
    </row>
    <row r="46" spans="1:21" ht="18" customHeight="1">
      <c r="A46" s="23" t="s">
        <v>97</v>
      </c>
      <c r="B46" s="15">
        <v>4</v>
      </c>
      <c r="C46" s="15" t="s">
        <v>23</v>
      </c>
      <c r="D46" s="15">
        <v>20</v>
      </c>
      <c r="E46" s="15"/>
      <c r="F46" s="17" t="s">
        <v>98</v>
      </c>
      <c r="G46" s="24" t="s">
        <v>52</v>
      </c>
      <c r="H46" s="25">
        <v>46146</v>
      </c>
      <c r="I46" s="25">
        <v>46150</v>
      </c>
      <c r="J46" s="26">
        <f>NETWORKDAYS(H46,I46)</f>
        <v>5</v>
      </c>
      <c r="K46" s="27">
        <f ca="1">IF(TODAY()&gt;=I41, 1, IF(TODAY()&lt;H41, 0, NETWORKDAYS(H41, TODAY())/NETWORKDAYS(H41, I41)))</f>
        <v>1</v>
      </c>
      <c r="L46" s="28">
        <f ca="1">$D46*K46/100</f>
        <v>0.2</v>
      </c>
      <c r="M46" s="29">
        <v>46146</v>
      </c>
      <c r="N46" s="29">
        <v>46150</v>
      </c>
      <c r="O46" s="30">
        <f>NETWORKDAYS(M46,N46)</f>
        <v>5</v>
      </c>
      <c r="P46" s="33">
        <f ca="1">IF(TODAY()&gt;=N46, 1, IF(TODAY()&lt;M46, 0, NETWORKDAYS(M46, TODAY())/NETWORKDAYS(M46, N46)))</f>
        <v>1</v>
      </c>
      <c r="Q46" s="32">
        <f ca="1">$D46*P46/100</f>
        <v>0.2</v>
      </c>
      <c r="R46" s="6"/>
      <c r="S46" s="34">
        <f t="shared" ca="1" si="6"/>
        <v>0</v>
      </c>
      <c r="T46" s="7">
        <f t="shared" ca="1" si="5"/>
        <v>1</v>
      </c>
      <c r="U46" s="8" t="str">
        <f t="array" aca="1" ref="U46" ca="1">IF(S46="","",IF(AND(I46&lt;=CalcDay, T46&lt;1), "지연", IF(T46&lt;0.95,"지연",IF(P46=100%,"완료","진행중"))))</f>
        <v>완료</v>
      </c>
    </row>
    <row r="47" spans="1:21" ht="18" customHeight="1">
      <c r="A47" s="23" t="s">
        <v>99</v>
      </c>
      <c r="B47" s="15">
        <v>4</v>
      </c>
      <c r="C47" s="15" t="s">
        <v>23</v>
      </c>
      <c r="D47" s="15">
        <v>20</v>
      </c>
      <c r="E47" s="15"/>
      <c r="F47" s="35" t="s">
        <v>100</v>
      </c>
      <c r="G47" s="24" t="s">
        <v>52</v>
      </c>
      <c r="H47" s="25">
        <v>46146</v>
      </c>
      <c r="I47" s="25">
        <v>46150</v>
      </c>
      <c r="J47" s="26">
        <f>NETWORKDAYS(H47,I47)</f>
        <v>5</v>
      </c>
      <c r="K47" s="27">
        <f ca="1">IF(TODAY()&gt;=I42, 1, IF(TODAY()&lt;H42, 0, NETWORKDAYS(H42, TODAY())/NETWORKDAYS(H42, I42)))</f>
        <v>1</v>
      </c>
      <c r="L47" s="28">
        <f ca="1">$D47*K47/100</f>
        <v>0.2</v>
      </c>
      <c r="M47" s="29">
        <v>46146</v>
      </c>
      <c r="N47" s="29">
        <v>46150</v>
      </c>
      <c r="O47" s="30">
        <f>NETWORKDAYS(M47,N47)</f>
        <v>5</v>
      </c>
      <c r="P47" s="33">
        <f ca="1">IF(TODAY()&gt;=N47, 1, IF(TODAY()&lt;M47, 0, NETWORKDAYS(M47, TODAY())/NETWORKDAYS(M47, N47)))</f>
        <v>1</v>
      </c>
      <c r="Q47" s="32">
        <f ca="1">$D47*P47/100</f>
        <v>0.2</v>
      </c>
      <c r="R47" s="6"/>
      <c r="S47" s="34">
        <f t="shared" ca="1" si="6"/>
        <v>0</v>
      </c>
      <c r="T47" s="7">
        <f t="shared" ca="1" si="5"/>
        <v>1</v>
      </c>
      <c r="U47" s="8" t="str">
        <f t="array" aca="1" ref="U47" ca="1">IF(S47="","",IF(AND(I47&lt;=CalcDay, T47&lt;1), "지연", IF(T47&lt;0.95,"지연",IF(P47=100%,"완료","진행중"))))</f>
        <v>완료</v>
      </c>
    </row>
    <row r="48" spans="1:21" ht="18" customHeight="1">
      <c r="A48" s="23" t="s">
        <v>101</v>
      </c>
      <c r="B48" s="15">
        <v>4</v>
      </c>
      <c r="C48" s="15" t="s">
        <v>23</v>
      </c>
      <c r="D48" s="15">
        <v>20</v>
      </c>
      <c r="E48" s="15"/>
      <c r="F48" s="35" t="s">
        <v>102</v>
      </c>
      <c r="G48" s="24" t="s">
        <v>52</v>
      </c>
      <c r="H48" s="25">
        <v>46146</v>
      </c>
      <c r="I48" s="25">
        <v>46150</v>
      </c>
      <c r="J48" s="26">
        <f>NETWORKDAYS(H48,I48)</f>
        <v>5</v>
      </c>
      <c r="K48" s="27">
        <f ca="1">IF(TODAY()&gt;=I43, 1, IF(TODAY()&lt;H43, 0, NETWORKDAYS(H43, TODAY())/NETWORKDAYS(H43, I43)))</f>
        <v>1</v>
      </c>
      <c r="L48" s="28">
        <f ca="1">$D48*K48/100</f>
        <v>0.2</v>
      </c>
      <c r="M48" s="29">
        <v>46146</v>
      </c>
      <c r="N48" s="29">
        <v>46150</v>
      </c>
      <c r="O48" s="30">
        <f>NETWORKDAYS(M48,N48)</f>
        <v>5</v>
      </c>
      <c r="P48" s="33">
        <f ca="1">IF(TODAY()&gt;=N48, 1, IF(TODAY()&lt;M48, 0, NETWORKDAYS(M48, TODAY())/NETWORKDAYS(M48, N48)))</f>
        <v>1</v>
      </c>
      <c r="Q48" s="32">
        <f ca="1">$D48*P48/100</f>
        <v>0.2</v>
      </c>
      <c r="R48" s="6"/>
      <c r="S48" s="34">
        <f t="shared" ca="1" si="6"/>
        <v>0</v>
      </c>
      <c r="T48" s="7">
        <f t="shared" ca="1" si="5"/>
        <v>1</v>
      </c>
      <c r="U48" s="8" t="str">
        <f t="array" aca="1" ref="U48" ca="1">IF(S48="","",IF(AND(I48&lt;=CalcDay, T48&lt;1), "지연", IF(T48&lt;0.95,"지연",IF(P48=100%,"완료","진행중"))))</f>
        <v>완료</v>
      </c>
    </row>
    <row r="49" spans="1:21" ht="18" customHeight="1">
      <c r="A49" s="23" t="s">
        <v>103</v>
      </c>
      <c r="B49" s="15">
        <v>4</v>
      </c>
      <c r="C49" s="15" t="s">
        <v>23</v>
      </c>
      <c r="D49" s="15">
        <v>20</v>
      </c>
      <c r="E49" s="15"/>
      <c r="F49" s="36" t="s">
        <v>104</v>
      </c>
      <c r="G49" s="24" t="s">
        <v>52</v>
      </c>
      <c r="H49" s="25">
        <v>46146</v>
      </c>
      <c r="I49" s="25">
        <v>46150</v>
      </c>
      <c r="J49" s="26">
        <f>NETWORKDAYS(H49,I49)</f>
        <v>5</v>
      </c>
      <c r="K49" s="27">
        <f ca="1">IF(TODAY()&gt;=I44, 1, IF(TODAY()&lt;H44, 0, NETWORKDAYS(H44, TODAY())/NETWORKDAYS(H44, I44)))</f>
        <v>1</v>
      </c>
      <c r="L49" s="28">
        <f ca="1">$D49*K49/100</f>
        <v>0.2</v>
      </c>
      <c r="M49" s="29">
        <v>46146</v>
      </c>
      <c r="N49" s="29">
        <v>46150</v>
      </c>
      <c r="O49" s="30">
        <f>NETWORKDAYS(M49,N49)</f>
        <v>5</v>
      </c>
      <c r="P49" s="33">
        <f ca="1">IF(TODAY()&gt;=N49, 1, IF(TODAY()&lt;M49, 0, NETWORKDAYS(M49, TODAY())/NETWORKDAYS(M49, N49)))</f>
        <v>1</v>
      </c>
      <c r="Q49" s="32">
        <f ca="1">$D49*P49/100</f>
        <v>0.2</v>
      </c>
      <c r="R49" s="6"/>
      <c r="S49" s="34">
        <f t="shared" ca="1" si="6"/>
        <v>0</v>
      </c>
      <c r="T49" s="7">
        <f t="shared" ca="1" si="5"/>
        <v>1</v>
      </c>
      <c r="U49" s="8" t="str">
        <f t="array" aca="1" ref="U49" ca="1">IF(S49="","",IF(AND(I49&lt;=CalcDay, T49&lt;1), "지연", IF(T49&lt;0.95,"지연",IF(P49=100%,"완료","진행중"))))</f>
        <v>완료</v>
      </c>
    </row>
    <row r="50" spans="1:21" ht="18" customHeight="1">
      <c r="A50" s="20" t="s">
        <v>105</v>
      </c>
      <c r="B50" s="12">
        <v>3</v>
      </c>
      <c r="C50" s="12" t="s">
        <v>19</v>
      </c>
      <c r="D50" s="12">
        <v>15</v>
      </c>
      <c r="E50" s="12"/>
      <c r="F50" s="13"/>
      <c r="G50" s="14"/>
      <c r="H50" s="25">
        <f>MIN(H51:H52)</f>
        <v>46151</v>
      </c>
      <c r="I50" s="25">
        <f>MAX(I51:I52)</f>
        <v>46158</v>
      </c>
      <c r="J50" s="26">
        <f>NETWORKDAYS(H50,I50)</f>
        <v>5</v>
      </c>
      <c r="K50" s="27">
        <f>SUM(L51:L52)</f>
        <v>1</v>
      </c>
      <c r="L50" s="28">
        <f>$D50*K50/100</f>
        <v>0.15</v>
      </c>
      <c r="M50" s="29">
        <v>46151</v>
      </c>
      <c r="N50" s="29">
        <v>46158</v>
      </c>
      <c r="O50" s="30">
        <f>NETWORKDAYS(M50,N50)</f>
        <v>5</v>
      </c>
      <c r="P50" s="33">
        <f ca="1">SUM(Q51:Q52)</f>
        <v>1</v>
      </c>
      <c r="Q50" s="32">
        <f ca="1">$D50*P50/100</f>
        <v>0.15</v>
      </c>
      <c r="R50" s="6"/>
      <c r="S50" s="34">
        <f t="shared" ca="1" si="6"/>
        <v>0</v>
      </c>
      <c r="T50" s="7">
        <f t="shared" ca="1" si="5"/>
        <v>1</v>
      </c>
      <c r="U50" s="8" t="str">
        <f t="array" aca="1" ref="U50" ca="1">IF(S50="","",IF(AND(I50&lt;=CalcDay, T50&lt;1), "지연", IF(T50&lt;0.95,"지연",IF(P50=100%,"완료","진행중"))))</f>
        <v>완료</v>
      </c>
    </row>
    <row r="51" spans="1:21" ht="18" customHeight="1">
      <c r="A51" s="22" t="s">
        <v>106</v>
      </c>
      <c r="B51" s="15">
        <v>4</v>
      </c>
      <c r="C51" s="15" t="s">
        <v>23</v>
      </c>
      <c r="D51" s="15">
        <v>50</v>
      </c>
      <c r="E51" s="15"/>
      <c r="F51" s="16" t="s">
        <v>107</v>
      </c>
      <c r="G51" s="24" t="s">
        <v>52</v>
      </c>
      <c r="H51" s="25">
        <v>46151</v>
      </c>
      <c r="I51" s="25">
        <v>46156</v>
      </c>
      <c r="J51" s="26">
        <f>NETWORKDAYS(H51,I51)</f>
        <v>4</v>
      </c>
      <c r="K51" s="27">
        <v>1</v>
      </c>
      <c r="L51" s="28">
        <f>$D51*K51/100</f>
        <v>0.5</v>
      </c>
      <c r="M51" s="29">
        <v>46151</v>
      </c>
      <c r="N51" s="29">
        <v>46156</v>
      </c>
      <c r="O51" s="30">
        <f>NETWORKDAYS(M51,N51)</f>
        <v>4</v>
      </c>
      <c r="P51" s="33">
        <f ca="1">IF(TODAY()&gt;=N51, 1, IF(TODAY()&lt;M51, 0, NETWORKDAYS(M51, TODAY())/NETWORKDAYS(M51, N51)))</f>
        <v>1</v>
      </c>
      <c r="Q51" s="32">
        <f ca="1">$D51*P51/100</f>
        <v>0.5</v>
      </c>
      <c r="R51" s="6"/>
      <c r="S51" s="34">
        <f t="shared" ca="1" si="6"/>
        <v>0</v>
      </c>
      <c r="T51" s="7">
        <f t="shared" ca="1" si="5"/>
        <v>1</v>
      </c>
      <c r="U51" s="8" t="str">
        <f t="array" aca="1" ref="U51" ca="1">IF(S51="","",IF(AND(I51&lt;=CalcDay, T51&lt;1), "지연", IF(T51&lt;0.95,"지연",IF(P51=100%,"완료","진행중"))))</f>
        <v>완료</v>
      </c>
    </row>
    <row r="52" spans="1:21" ht="18" customHeight="1">
      <c r="A52" s="22" t="s">
        <v>108</v>
      </c>
      <c r="B52" s="15">
        <v>4</v>
      </c>
      <c r="C52" s="15" t="s">
        <v>23</v>
      </c>
      <c r="D52" s="15">
        <v>50</v>
      </c>
      <c r="E52" s="15"/>
      <c r="F52" s="16" t="s">
        <v>109</v>
      </c>
      <c r="G52" s="24" t="s">
        <v>52</v>
      </c>
      <c r="H52" s="25">
        <v>46156</v>
      </c>
      <c r="I52" s="25">
        <v>46158</v>
      </c>
      <c r="J52" s="26">
        <f>NETWORKDAYS(H52,I52)</f>
        <v>2</v>
      </c>
      <c r="K52" s="27">
        <v>1</v>
      </c>
      <c r="L52" s="28">
        <f>$D52*K52/100</f>
        <v>0.5</v>
      </c>
      <c r="M52" s="29">
        <v>46156</v>
      </c>
      <c r="N52" s="29">
        <v>46158</v>
      </c>
      <c r="O52" s="30">
        <f>NETWORKDAYS(M52,N52)</f>
        <v>2</v>
      </c>
      <c r="P52" s="33">
        <f ca="1">IF(TODAY()&gt;=N52, 1, IF(TODAY()&lt;M52, 0, NETWORKDAYS(M52, TODAY())/NETWORKDAYS(M52, N52)))</f>
        <v>1</v>
      </c>
      <c r="Q52" s="32">
        <f ca="1">$D52*P52/100</f>
        <v>0.5</v>
      </c>
      <c r="R52" s="6"/>
      <c r="S52" s="34">
        <f t="shared" ca="1" si="6"/>
        <v>0</v>
      </c>
      <c r="T52" s="7">
        <f t="shared" ca="1" si="5"/>
        <v>1</v>
      </c>
      <c r="U52" s="8" t="str">
        <f t="array" aca="1" ref="U52" ca="1">IF(S52="","",IF(AND(I52&lt;=CalcDay, T52&lt;1), "지연", IF(T52&lt;0.95,"지연",IF(P52=100%,"완료","진행중"))))</f>
        <v>완료</v>
      </c>
    </row>
    <row r="53" spans="1:21" ht="18" customHeight="1">
      <c r="A53" s="20" t="s">
        <v>110</v>
      </c>
      <c r="B53" s="12">
        <v>3</v>
      </c>
      <c r="C53" s="12" t="s">
        <v>19</v>
      </c>
      <c r="D53" s="12">
        <v>15</v>
      </c>
      <c r="E53" s="12"/>
      <c r="F53" s="13"/>
      <c r="G53" s="14"/>
      <c r="H53" s="25">
        <f>MIN(H54:H55)</f>
        <v>46156</v>
      </c>
      <c r="I53" s="25">
        <f>MAX(I54:I55)</f>
        <v>46163</v>
      </c>
      <c r="J53" s="26">
        <f>NETWORKDAYS(H53,I53)</f>
        <v>6</v>
      </c>
      <c r="K53" s="27">
        <f ca="1">SUM(L54:L55)</f>
        <v>1</v>
      </c>
      <c r="L53" s="28">
        <f ca="1">$D53*K53/100</f>
        <v>0.15</v>
      </c>
      <c r="M53" s="29">
        <v>46156</v>
      </c>
      <c r="N53" s="29">
        <v>46163</v>
      </c>
      <c r="O53" s="30">
        <f>NETWORKDAYS(M53,N53)</f>
        <v>6</v>
      </c>
      <c r="P53" s="33">
        <f ca="1">SUM(Q54:Q55)</f>
        <v>1</v>
      </c>
      <c r="Q53" s="32">
        <f ca="1">$D53*P53/100</f>
        <v>0.15</v>
      </c>
      <c r="R53" s="6"/>
      <c r="S53" s="34">
        <f t="shared" ca="1" si="6"/>
        <v>0</v>
      </c>
      <c r="T53" s="7">
        <f t="shared" ca="1" si="5"/>
        <v>1</v>
      </c>
      <c r="U53" s="8" t="str">
        <f t="array" aca="1" ref="U53" ca="1">IF(S53="","",IF(AND(I53&lt;=CalcDay, T53&lt;1), "지연", IF(T53&lt;0.95,"지연",IF(P53=100%,"완료","진행중"))))</f>
        <v>완료</v>
      </c>
    </row>
    <row r="54" spans="1:21" ht="18" customHeight="1">
      <c r="A54" s="23" t="s">
        <v>111</v>
      </c>
      <c r="B54" s="15">
        <v>4</v>
      </c>
      <c r="C54" s="15" t="s">
        <v>23</v>
      </c>
      <c r="D54" s="15">
        <v>50</v>
      </c>
      <c r="E54" s="15"/>
      <c r="F54" s="17" t="s">
        <v>112</v>
      </c>
      <c r="G54" s="24" t="s">
        <v>52</v>
      </c>
      <c r="H54" s="25">
        <v>46156</v>
      </c>
      <c r="I54" s="25">
        <v>46161</v>
      </c>
      <c r="J54" s="26">
        <f>NETWORKDAYS(H54,I54)</f>
        <v>4</v>
      </c>
      <c r="K54" s="27">
        <v>1</v>
      </c>
      <c r="L54" s="28">
        <f>$D54*K54/100</f>
        <v>0.5</v>
      </c>
      <c r="M54" s="29">
        <v>46156</v>
      </c>
      <c r="N54" s="29">
        <v>46161</v>
      </c>
      <c r="O54" s="30">
        <f>NETWORKDAYS(M54,N54)</f>
        <v>4</v>
      </c>
      <c r="P54" s="33">
        <f ca="1">IF(TODAY()&gt;=N54, 1, IF(TODAY()&lt;M54, 0, NETWORKDAYS(M54, TODAY())/NETWORKDAYS(M54, N54)))</f>
        <v>1</v>
      </c>
      <c r="Q54" s="32">
        <f ca="1">$D54*P54/100</f>
        <v>0.5</v>
      </c>
      <c r="R54" s="6"/>
      <c r="S54" s="34">
        <f t="shared" ca="1" si="6"/>
        <v>0</v>
      </c>
      <c r="T54" s="7">
        <f t="shared" ca="1" si="5"/>
        <v>1</v>
      </c>
      <c r="U54" s="8" t="str">
        <f t="array" aca="1" ref="U54" ca="1">IF(S54="","",IF(AND(I54&lt;=CalcDay, T54&lt;1), "지연", IF(T54&lt;0.95,"지연",IF(P54=100%,"완료","진행중"))))</f>
        <v>완료</v>
      </c>
    </row>
    <row r="55" spans="1:21" ht="18" customHeight="1">
      <c r="A55" s="22" t="s">
        <v>113</v>
      </c>
      <c r="B55" s="15">
        <v>4</v>
      </c>
      <c r="C55" s="15" t="s">
        <v>23</v>
      </c>
      <c r="D55" s="15">
        <v>50</v>
      </c>
      <c r="E55" s="15"/>
      <c r="F55" s="16" t="s">
        <v>114</v>
      </c>
      <c r="G55" s="24" t="s">
        <v>52</v>
      </c>
      <c r="H55" s="25">
        <v>46161</v>
      </c>
      <c r="I55" s="25">
        <v>46163</v>
      </c>
      <c r="J55" s="26">
        <f>NETWORKDAYS(H55,I55)</f>
        <v>3</v>
      </c>
      <c r="K55" s="27">
        <f ca="1">IF(TODAY()&gt;=I50, 1, IF(TODAY()&lt;H50, 0, NETWORKDAYS(H50, TODAY())/NETWORKDAYS(H50, I50)))</f>
        <v>1</v>
      </c>
      <c r="L55" s="28">
        <f ca="1">$D55*K55/100</f>
        <v>0.5</v>
      </c>
      <c r="M55" s="29">
        <v>46161</v>
      </c>
      <c r="N55" s="29">
        <v>46163</v>
      </c>
      <c r="O55" s="30">
        <f>NETWORKDAYS(M55,N55)</f>
        <v>3</v>
      </c>
      <c r="P55" s="33">
        <f ca="1">IF(TODAY()&gt;=N55, 1, IF(TODAY()&lt;M55, 0, NETWORKDAYS(M55, TODAY())/NETWORKDAYS(M55, N55)))</f>
        <v>1</v>
      </c>
      <c r="Q55" s="32">
        <f ca="1">$D55*P55/100</f>
        <v>0.5</v>
      </c>
      <c r="R55" s="6"/>
      <c r="S55" s="34">
        <f t="shared" ca="1" si="6"/>
        <v>0</v>
      </c>
      <c r="T55" s="7">
        <f t="shared" ca="1" si="5"/>
        <v>1</v>
      </c>
      <c r="U55" s="8" t="str">
        <f t="array" aca="1" ref="U55" ca="1">IF(S55="","",IF(AND(I55&lt;=CalcDay, T55&lt;1), "지연", IF(T55&lt;0.95,"지연",IF(P55=100%,"완료","진행중"))))</f>
        <v>완료</v>
      </c>
    </row>
    <row r="56" spans="1:21" ht="18" customHeight="1">
      <c r="A56" s="20" t="s">
        <v>115</v>
      </c>
      <c r="B56" s="12">
        <v>3</v>
      </c>
      <c r="C56" s="12" t="s">
        <v>19</v>
      </c>
      <c r="D56" s="12">
        <v>10</v>
      </c>
      <c r="E56" s="12"/>
      <c r="F56" s="13"/>
      <c r="G56" s="14"/>
      <c r="H56" s="25">
        <f>MIN(H57:H59)</f>
        <v>46157</v>
      </c>
      <c r="I56" s="25">
        <f>MAX(I57:I59)</f>
        <v>46161</v>
      </c>
      <c r="J56" s="26">
        <f>NETWORKDAYS(H56,I56)</f>
        <v>3</v>
      </c>
      <c r="K56" s="27">
        <f>SUM(L57:L59)</f>
        <v>1</v>
      </c>
      <c r="L56" s="28">
        <f>$D56*K56/100</f>
        <v>0.1</v>
      </c>
      <c r="M56" s="29">
        <v>46157</v>
      </c>
      <c r="N56" s="29">
        <v>46161</v>
      </c>
      <c r="O56" s="30">
        <f>NETWORKDAYS(M56,N56)</f>
        <v>3</v>
      </c>
      <c r="P56" s="33">
        <f ca="1">SUM(Q57:Q59)</f>
        <v>1</v>
      </c>
      <c r="Q56" s="32">
        <f ca="1">$D56*P56/100</f>
        <v>0.1</v>
      </c>
      <c r="R56" s="6"/>
      <c r="S56" s="34">
        <f ca="1">IF(AND(K56=0,P56=0), "", P56-K56)</f>
        <v>0</v>
      </c>
      <c r="T56" s="7">
        <f t="shared" ca="1" si="5"/>
        <v>1</v>
      </c>
      <c r="U56" s="8" t="str">
        <f t="array" aca="1" ref="U56" ca="1">IF(S56="","",IF(AND(I56&lt;=CalcDay, T56&lt;1), "지연", IF(T56&lt;0.95,"지연",IF(P56=100%,"완료","진행중"))))</f>
        <v>완료</v>
      </c>
    </row>
    <row r="57" spans="1:21" ht="18" customHeight="1">
      <c r="A57" s="23" t="s">
        <v>116</v>
      </c>
      <c r="B57" s="15">
        <v>4</v>
      </c>
      <c r="C57" s="15" t="s">
        <v>23</v>
      </c>
      <c r="D57" s="15">
        <v>34</v>
      </c>
      <c r="E57" s="15"/>
      <c r="F57" s="17" t="s">
        <v>84</v>
      </c>
      <c r="G57" s="24" t="s">
        <v>117</v>
      </c>
      <c r="H57" s="25">
        <v>46157</v>
      </c>
      <c r="I57" s="25">
        <v>46158</v>
      </c>
      <c r="J57" s="26">
        <f>NETWORKDAYS(H57,I57)</f>
        <v>1</v>
      </c>
      <c r="K57" s="27">
        <v>1</v>
      </c>
      <c r="L57" s="28">
        <f>$D57*K57/100</f>
        <v>0.34</v>
      </c>
      <c r="M57" s="29">
        <v>46157</v>
      </c>
      <c r="N57" s="29">
        <v>46158</v>
      </c>
      <c r="O57" s="30">
        <f>NETWORKDAYS(M57,N57)</f>
        <v>1</v>
      </c>
      <c r="P57" s="33">
        <f ca="1">IF(TODAY()&gt;=N57, 1, IF(TODAY()&lt;M57, 0, NETWORKDAYS(M57, TODAY())/NETWORKDAYS(M57, N57)))</f>
        <v>1</v>
      </c>
      <c r="Q57" s="32">
        <f ca="1">$D57*P57/100</f>
        <v>0.34</v>
      </c>
      <c r="R57" s="6"/>
      <c r="S57" s="34">
        <f ca="1">IF(AND(K57=0,P57=0), "", P57-K57)</f>
        <v>0</v>
      </c>
      <c r="T57" s="7">
        <f t="shared" ca="1" si="5"/>
        <v>1</v>
      </c>
      <c r="U57" s="8" t="str">
        <f t="array" aca="1" ref="U57" ca="1">IF(S57="","",IF(AND(I57&lt;=CalcDay, T57&lt;1), "지연", IF(T57&lt;0.95,"지연",IF(P57=100%,"완료","진행중"))))</f>
        <v>완료</v>
      </c>
    </row>
    <row r="58" spans="1:21" ht="18" customHeight="1">
      <c r="A58" s="23" t="s">
        <v>118</v>
      </c>
      <c r="B58" s="15">
        <v>4</v>
      </c>
      <c r="C58" s="15" t="s">
        <v>23</v>
      </c>
      <c r="D58" s="15">
        <v>33</v>
      </c>
      <c r="E58" s="15"/>
      <c r="F58" s="17" t="s">
        <v>119</v>
      </c>
      <c r="G58" s="24" t="s">
        <v>117</v>
      </c>
      <c r="H58" s="25">
        <v>46158</v>
      </c>
      <c r="I58" s="25">
        <v>46160</v>
      </c>
      <c r="J58" s="26">
        <f>NETWORKDAYS(H58,I58)</f>
        <v>1</v>
      </c>
      <c r="K58" s="27">
        <v>1</v>
      </c>
      <c r="L58" s="28">
        <f>$D58*K58/100</f>
        <v>0.33</v>
      </c>
      <c r="M58" s="29">
        <v>46158</v>
      </c>
      <c r="N58" s="29">
        <v>46160</v>
      </c>
      <c r="O58" s="30">
        <f>NETWORKDAYS(M58,N58)</f>
        <v>1</v>
      </c>
      <c r="P58" s="33">
        <f ca="1">IF(TODAY()&gt;=N58, 1, IF(TODAY()&lt;M58, 0, NETWORKDAYS(M58, TODAY())/NETWORKDAYS(M58, N58)))</f>
        <v>1</v>
      </c>
      <c r="Q58" s="32">
        <f ca="1">$D58*P58/100</f>
        <v>0.33</v>
      </c>
      <c r="R58" s="6"/>
      <c r="S58" s="34">
        <f ca="1">IF(AND(K58=0,P58=0), "", P58-K58)</f>
        <v>0</v>
      </c>
      <c r="T58" s="7">
        <f t="shared" ca="1" si="5"/>
        <v>1</v>
      </c>
      <c r="U58" s="8" t="str">
        <f t="array" aca="1" ref="U58" ca="1">IF(S58="","",IF(AND(I58&lt;=CalcDay, T58&lt;1), "지연", IF(T58&lt;0.95,"지연",IF(P58=100%,"완료","진행중"))))</f>
        <v>완료</v>
      </c>
    </row>
    <row r="59" spans="1:21" ht="18" customHeight="1">
      <c r="A59" s="23" t="s">
        <v>120</v>
      </c>
      <c r="B59" s="15">
        <v>4</v>
      </c>
      <c r="C59" s="15" t="s">
        <v>23</v>
      </c>
      <c r="D59" s="15">
        <v>33</v>
      </c>
      <c r="E59" s="15"/>
      <c r="F59" s="17" t="s">
        <v>121</v>
      </c>
      <c r="G59" s="24" t="s">
        <v>117</v>
      </c>
      <c r="H59" s="25">
        <v>46160</v>
      </c>
      <c r="I59" s="25">
        <v>46161</v>
      </c>
      <c r="J59" s="26">
        <f>NETWORKDAYS(H59,I59)</f>
        <v>2</v>
      </c>
      <c r="K59" s="27">
        <v>1</v>
      </c>
      <c r="L59" s="28">
        <f>$D59*K59/100</f>
        <v>0.33</v>
      </c>
      <c r="M59" s="29">
        <v>46160</v>
      </c>
      <c r="N59" s="29">
        <v>46161</v>
      </c>
      <c r="O59" s="30">
        <f>NETWORKDAYS(M59,N59)</f>
        <v>2</v>
      </c>
      <c r="P59" s="33">
        <f ca="1">IF(TODAY()&gt;=N59, 1, IF(TODAY()&lt;M59, 0, NETWORKDAYS(M59, TODAY())/NETWORKDAYS(M59, N59)))</f>
        <v>1</v>
      </c>
      <c r="Q59" s="32">
        <f ca="1">$D59*P59/100</f>
        <v>0.33</v>
      </c>
      <c r="R59" s="6"/>
      <c r="S59" s="34">
        <f ca="1">IF(AND(K59=0,P59=0), "", P59-K59)</f>
        <v>0</v>
      </c>
      <c r="T59" s="7">
        <f t="shared" ca="1" si="5"/>
        <v>1</v>
      </c>
      <c r="U59" s="8" t="str">
        <f t="array" aca="1" ref="U59" ca="1">IF(S59="","",IF(AND(I59&lt;=CalcDay, T59&lt;1), "지연", IF(T59&lt;0.95,"지연",IF(P59=100%,"완료","진행중"))))</f>
        <v>완료</v>
      </c>
    </row>
    <row r="60" spans="1:21" ht="18" customHeight="1">
      <c r="A60" s="19" t="s">
        <v>122</v>
      </c>
      <c r="B60" s="9">
        <v>2</v>
      </c>
      <c r="C60" s="9" t="s">
        <v>19</v>
      </c>
      <c r="D60" s="9">
        <v>20</v>
      </c>
      <c r="E60" s="9"/>
      <c r="F60" s="10"/>
      <c r="G60" s="11"/>
      <c r="H60" s="25">
        <f>MIN(H61:H72)</f>
        <v>46141</v>
      </c>
      <c r="I60" s="25">
        <f>MAX(I61:I72)</f>
        <v>46165</v>
      </c>
      <c r="J60" s="26">
        <f>NETWORKDAYS(H60,I60)</f>
        <v>18</v>
      </c>
      <c r="K60" s="27">
        <f ca="1">SUM(L61,L64,L67)</f>
        <v>1</v>
      </c>
      <c r="L60" s="28">
        <f ca="1">$D60*K60/100</f>
        <v>0.2</v>
      </c>
      <c r="M60" s="29">
        <v>46141</v>
      </c>
      <c r="N60" s="29">
        <v>46165</v>
      </c>
      <c r="O60" s="30">
        <f>NETWORKDAYS(M60,N60)</f>
        <v>18</v>
      </c>
      <c r="P60" s="33">
        <f ca="1">SUM(Q61,Q64,Q67)</f>
        <v>1</v>
      </c>
      <c r="Q60" s="32">
        <f ca="1">$D60*P60/100</f>
        <v>0.2</v>
      </c>
      <c r="R60" s="6"/>
      <c r="S60" s="34">
        <f t="shared" ref="S60:S70" ca="1" si="8">IF(AND(K51=0,P51=0), "", P51-K51)</f>
        <v>0</v>
      </c>
      <c r="T60" s="7">
        <f t="shared" ca="1" si="5"/>
        <v>1</v>
      </c>
      <c r="U60" s="8" t="str">
        <f t="array" aca="1" ref="U60" ca="1">IF(S60="","",IF(AND(I60&lt;=CalcDay, T60&lt;1), "지연", IF(T60&lt;0.95,"지연",IF(P60=100%,"완료","진행중"))))</f>
        <v>완료</v>
      </c>
    </row>
    <row r="61" spans="1:21" ht="18" customHeight="1">
      <c r="A61" s="20" t="s">
        <v>123</v>
      </c>
      <c r="B61" s="12">
        <v>3</v>
      </c>
      <c r="C61" s="12" t="s">
        <v>19</v>
      </c>
      <c r="D61" s="12">
        <v>20</v>
      </c>
      <c r="E61" s="12"/>
      <c r="F61" s="13"/>
      <c r="G61" s="14"/>
      <c r="H61" s="25">
        <f>MIN(H62:H63)</f>
        <v>46141</v>
      </c>
      <c r="I61" s="25">
        <f>MAX(I62:I63)</f>
        <v>46143</v>
      </c>
      <c r="J61" s="26">
        <f>NETWORKDAYS(H61,I61)</f>
        <v>3</v>
      </c>
      <c r="K61" s="27">
        <f ca="1">SUM(L62:L63)</f>
        <v>1</v>
      </c>
      <c r="L61" s="28">
        <f ca="1">$D61*K61/100</f>
        <v>0.2</v>
      </c>
      <c r="M61" s="29">
        <v>46141</v>
      </c>
      <c r="N61" s="29">
        <v>46143</v>
      </c>
      <c r="O61" s="30">
        <f>NETWORKDAYS(M61,N61)</f>
        <v>3</v>
      </c>
      <c r="P61" s="33">
        <f ca="1">SUM(Q62:Q63)</f>
        <v>1</v>
      </c>
      <c r="Q61" s="32">
        <f ca="1">$D61*P61/100</f>
        <v>0.2</v>
      </c>
      <c r="R61" s="6"/>
      <c r="S61" s="34">
        <f t="shared" ca="1" si="8"/>
        <v>0</v>
      </c>
      <c r="T61" s="7">
        <f t="shared" ca="1" si="5"/>
        <v>1</v>
      </c>
      <c r="U61" s="8" t="str">
        <f t="array" aca="1" ref="U61" ca="1">IF(S61="","",IF(AND(I61&lt;=CalcDay, T61&lt;1), "지연", IF(T61&lt;0.95,"지연",IF(P61=100%,"완료","진행중"))))</f>
        <v>완료</v>
      </c>
    </row>
    <row r="62" spans="1:21" ht="18" customHeight="1">
      <c r="A62" s="23" t="s">
        <v>124</v>
      </c>
      <c r="B62" s="15">
        <v>4</v>
      </c>
      <c r="C62" s="15" t="s">
        <v>23</v>
      </c>
      <c r="D62" s="15">
        <v>50</v>
      </c>
      <c r="E62" s="15"/>
      <c r="F62" s="17" t="s">
        <v>125</v>
      </c>
      <c r="G62" s="24" t="s">
        <v>45</v>
      </c>
      <c r="H62" s="25">
        <v>46141</v>
      </c>
      <c r="I62" s="25">
        <v>46142</v>
      </c>
      <c r="J62" s="26">
        <f>NETWORKDAYS(H62,I62)</f>
        <v>2</v>
      </c>
      <c r="K62" s="27">
        <f ca="1">IF(TODAY()&gt;=I53, 1, IF(TODAY()&lt;H53, 0, NETWORKDAYS(H53, TODAY())/NETWORKDAYS(H53, I53)))</f>
        <v>1</v>
      </c>
      <c r="L62" s="28">
        <f ca="1">$D62*K62/100</f>
        <v>0.5</v>
      </c>
      <c r="M62" s="29">
        <v>46141</v>
      </c>
      <c r="N62" s="29">
        <v>46142</v>
      </c>
      <c r="O62" s="30">
        <f t="shared" ref="O60:O70" si="9">NETWORKDAYS(M53,N53)</f>
        <v>6</v>
      </c>
      <c r="P62" s="33">
        <f ca="1">IF(TODAY()&gt;=N62, 1, IF(TODAY()&lt;M62, 0, NETWORKDAYS(M62, TODAY())/NETWORKDAYS(M62, N62)))</f>
        <v>1</v>
      </c>
      <c r="Q62" s="32">
        <f ca="1">$D62*P62/100</f>
        <v>0.5</v>
      </c>
      <c r="R62" s="6"/>
      <c r="S62" s="34">
        <f t="shared" ca="1" si="8"/>
        <v>0</v>
      </c>
      <c r="T62" s="7">
        <f t="shared" ca="1" si="5"/>
        <v>1</v>
      </c>
      <c r="U62" s="8" t="str">
        <f t="array" aca="1" ref="U62" ca="1">IF(S62="","",IF(AND(I62&lt;=CalcDay, T62&lt;1), "지연", IF(T62&lt;0.95,"지연",IF(P62=100%,"완료","진행중"))))</f>
        <v>완료</v>
      </c>
    </row>
    <row r="63" spans="1:21" ht="18" customHeight="1">
      <c r="A63" s="22" t="s">
        <v>126</v>
      </c>
      <c r="B63" s="15">
        <v>4</v>
      </c>
      <c r="C63" s="15" t="s">
        <v>23</v>
      </c>
      <c r="D63" s="15">
        <v>50</v>
      </c>
      <c r="E63" s="15"/>
      <c r="F63" s="16" t="s">
        <v>127</v>
      </c>
      <c r="G63" s="24" t="s">
        <v>45</v>
      </c>
      <c r="H63" s="25">
        <v>46142</v>
      </c>
      <c r="I63" s="25">
        <v>46143</v>
      </c>
      <c r="J63" s="26">
        <f>NETWORKDAYS(H63,I63)</f>
        <v>2</v>
      </c>
      <c r="K63" s="27">
        <f ca="1">IF(TODAY()&gt;=I54, 1, IF(TODAY()&lt;H54, 0, NETWORKDAYS(H54, TODAY())/NETWORKDAYS(H54, I54)))</f>
        <v>1</v>
      </c>
      <c r="L63" s="28">
        <f ca="1">$D63*K63/100</f>
        <v>0.5</v>
      </c>
      <c r="M63" s="29">
        <v>46142</v>
      </c>
      <c r="N63" s="29">
        <v>46143</v>
      </c>
      <c r="O63" s="30">
        <f>NETWORKDAYS(M63,N63)</f>
        <v>2</v>
      </c>
      <c r="P63" s="33">
        <f ca="1">IF(TODAY()&gt;=N63, 1, IF(TODAY()&lt;M63, 0, NETWORKDAYS(M63, TODAY())/NETWORKDAYS(M63, N63)))</f>
        <v>1</v>
      </c>
      <c r="Q63" s="32">
        <f ca="1">$D63*P63/100</f>
        <v>0.5</v>
      </c>
      <c r="R63" s="6"/>
      <c r="S63" s="34">
        <f t="shared" ca="1" si="8"/>
        <v>0</v>
      </c>
      <c r="T63" s="7">
        <f t="shared" ca="1" si="5"/>
        <v>1</v>
      </c>
      <c r="U63" s="8" t="str">
        <f t="array" aca="1" ref="U63" ca="1">IF(S63="","",IF(AND(I63&lt;=CalcDay, T63&lt;1), "지연", IF(T63&lt;0.95,"지연",IF(P63=100%,"완료","진행중"))))</f>
        <v>완료</v>
      </c>
    </row>
    <row r="64" spans="1:21" ht="18" customHeight="1">
      <c r="A64" s="20" t="s">
        <v>128</v>
      </c>
      <c r="B64" s="12">
        <v>3</v>
      </c>
      <c r="C64" s="12" t="s">
        <v>19</v>
      </c>
      <c r="D64" s="12">
        <v>40</v>
      </c>
      <c r="E64" s="12"/>
      <c r="F64" s="13"/>
      <c r="G64" s="14"/>
      <c r="H64" s="25">
        <f>MIN(H65:H66)</f>
        <v>46151</v>
      </c>
      <c r="I64" s="25">
        <f>MAX(I65:I66)</f>
        <v>46161</v>
      </c>
      <c r="J64" s="26">
        <f>NETWORKDAYS(H64,I64)</f>
        <v>7</v>
      </c>
      <c r="K64" s="27">
        <f ca="1">SUM(L65:L66)</f>
        <v>1</v>
      </c>
      <c r="L64" s="28">
        <f ca="1">$D64*K64/100</f>
        <v>0.4</v>
      </c>
      <c r="M64" s="29">
        <v>46151</v>
      </c>
      <c r="N64" s="29">
        <v>46161</v>
      </c>
      <c r="O64" s="30">
        <f>NETWORKDAYS(M64,N64)</f>
        <v>7</v>
      </c>
      <c r="P64" s="33">
        <f ca="1">SUM(Q65:Q66)</f>
        <v>1</v>
      </c>
      <c r="Q64" s="32">
        <f ca="1">$D64*P64/100</f>
        <v>0.4</v>
      </c>
      <c r="R64" s="6"/>
      <c r="S64" s="34">
        <f t="shared" ca="1" si="8"/>
        <v>0</v>
      </c>
      <c r="T64" s="7">
        <f t="shared" ca="1" si="5"/>
        <v>1</v>
      </c>
      <c r="U64" s="8" t="str">
        <f t="array" aca="1" ref="U64" ca="1">IF(S64="","",IF(AND(I64&lt;=CalcDay, T64&lt;1), "지연", IF(T64&lt;0.95,"지연",IF(P64=100%,"완료","진행중"))))</f>
        <v>완료</v>
      </c>
    </row>
    <row r="65" spans="1:21" ht="18" customHeight="1">
      <c r="A65" s="22" t="s">
        <v>129</v>
      </c>
      <c r="B65" s="15">
        <v>4</v>
      </c>
      <c r="C65" s="15" t="s">
        <v>23</v>
      </c>
      <c r="D65" s="15">
        <v>50</v>
      </c>
      <c r="E65" s="15"/>
      <c r="F65" s="16" t="s">
        <v>130</v>
      </c>
      <c r="G65" s="24" t="s">
        <v>45</v>
      </c>
      <c r="H65" s="25">
        <v>46151</v>
      </c>
      <c r="I65" s="25">
        <v>46158</v>
      </c>
      <c r="J65" s="26">
        <f>NETWORKDAYS(H65,I65)</f>
        <v>5</v>
      </c>
      <c r="K65" s="27">
        <f ca="1">IF(TODAY()&gt;=I56, 1, IF(TODAY()&lt;H56, 0, NETWORKDAYS(H56, TODAY())/NETWORKDAYS(H56, I56)))</f>
        <v>1</v>
      </c>
      <c r="L65" s="28">
        <f ca="1">$D65*K65/100</f>
        <v>0.5</v>
      </c>
      <c r="M65" s="29">
        <v>46151</v>
      </c>
      <c r="N65" s="29">
        <v>46158</v>
      </c>
      <c r="O65" s="30">
        <f t="shared" si="9"/>
        <v>3</v>
      </c>
      <c r="P65" s="33">
        <f ca="1">IF(TODAY()&gt;=N65, 1, IF(TODAY()&lt;M65, 0, NETWORKDAYS(M65, TODAY())/NETWORKDAYS(M65, N65)))</f>
        <v>1</v>
      </c>
      <c r="Q65" s="32">
        <f ca="1">$D65*P65/100</f>
        <v>0.5</v>
      </c>
      <c r="R65" s="6"/>
      <c r="S65" s="34">
        <f t="shared" ca="1" si="8"/>
        <v>0</v>
      </c>
      <c r="T65" s="7">
        <f t="shared" ca="1" si="5"/>
        <v>1</v>
      </c>
      <c r="U65" s="8" t="str">
        <f t="array" aca="1" ref="U65" ca="1">IF(S65="","",IF(AND(I65&lt;=CalcDay, T65&lt;1), "지연", IF(T65&lt;0.95,"지연",IF(P65=100%,"완료","진행중"))))</f>
        <v>완료</v>
      </c>
    </row>
    <row r="66" spans="1:21" ht="18" customHeight="1">
      <c r="A66" s="23" t="s">
        <v>131</v>
      </c>
      <c r="B66" s="15">
        <v>4</v>
      </c>
      <c r="C66" s="15" t="s">
        <v>23</v>
      </c>
      <c r="D66" s="15">
        <v>50</v>
      </c>
      <c r="E66" s="15"/>
      <c r="F66" s="17" t="s">
        <v>132</v>
      </c>
      <c r="G66" s="24" t="s">
        <v>45</v>
      </c>
      <c r="H66" s="25">
        <v>46158</v>
      </c>
      <c r="I66" s="25">
        <v>46161</v>
      </c>
      <c r="J66" s="26">
        <f>NETWORKDAYS(H66,I66)</f>
        <v>2</v>
      </c>
      <c r="K66" s="27">
        <f ca="1">IF(TODAY()&gt;=I57, 1, IF(TODAY()&lt;H57, 0, NETWORKDAYS(H57, TODAY())/NETWORKDAYS(H57, I57)))</f>
        <v>1</v>
      </c>
      <c r="L66" s="28">
        <f ca="1">$D66*K66/100</f>
        <v>0.5</v>
      </c>
      <c r="M66" s="29">
        <v>46158</v>
      </c>
      <c r="N66" s="29">
        <v>46161</v>
      </c>
      <c r="O66" s="30">
        <f>NETWORKDAYS(M66,N66)</f>
        <v>2</v>
      </c>
      <c r="P66" s="33">
        <f ca="1">IF(TODAY()&gt;=N66, 1, IF(TODAY()&lt;M66, 0, NETWORKDAYS(M66, TODAY())/NETWORKDAYS(M66, N66)))</f>
        <v>1</v>
      </c>
      <c r="Q66" s="32">
        <f ca="1">$D66*P66/100</f>
        <v>0.5</v>
      </c>
      <c r="R66" s="6"/>
      <c r="S66" s="34">
        <f t="shared" ca="1" si="8"/>
        <v>0</v>
      </c>
      <c r="T66" s="7">
        <f t="shared" ca="1" si="5"/>
        <v>1</v>
      </c>
      <c r="U66" s="8" t="str">
        <f t="array" aca="1" ref="U66" ca="1">IF(S66="","",IF(AND(I66&lt;=CalcDay, T66&lt;1), "지연", IF(T66&lt;0.95,"지연",IF(P66=100%,"완료","진행중"))))</f>
        <v>완료</v>
      </c>
    </row>
    <row r="67" spans="1:21" ht="18" customHeight="1">
      <c r="A67" s="20" t="s">
        <v>133</v>
      </c>
      <c r="B67" s="12">
        <v>3</v>
      </c>
      <c r="C67" s="12" t="s">
        <v>19</v>
      </c>
      <c r="D67" s="12">
        <v>40</v>
      </c>
      <c r="E67" s="12"/>
      <c r="F67" s="13"/>
      <c r="G67" s="14"/>
      <c r="H67" s="25">
        <f>MIN(H68:H72)</f>
        <v>46156</v>
      </c>
      <c r="I67" s="25">
        <f>MAX(I68:I72)</f>
        <v>46165</v>
      </c>
      <c r="J67" s="26">
        <f>NETWORKDAYS(H67,I67)</f>
        <v>7</v>
      </c>
      <c r="K67" s="27">
        <f ca="1">SUM(L68:L72)</f>
        <v>1</v>
      </c>
      <c r="L67" s="28">
        <f ca="1">$D67*K67/100</f>
        <v>0.4</v>
      </c>
      <c r="M67" s="29">
        <v>46156</v>
      </c>
      <c r="N67" s="29">
        <v>46165</v>
      </c>
      <c r="O67" s="30">
        <f>NETWORKDAYS(M67,N67)</f>
        <v>7</v>
      </c>
      <c r="P67" s="33">
        <f ca="1">SUM(Q68:Q72)</f>
        <v>1</v>
      </c>
      <c r="Q67" s="32">
        <f ca="1">$D67*P67/100</f>
        <v>0.4</v>
      </c>
      <c r="R67" s="6"/>
      <c r="S67" s="34">
        <f t="shared" ca="1" si="8"/>
        <v>0</v>
      </c>
      <c r="T67" s="7">
        <f t="shared" ca="1" si="5"/>
        <v>1</v>
      </c>
      <c r="U67" s="8" t="str">
        <f t="array" aca="1" ref="U67" ca="1">IF(S67="","",IF(AND(I67&lt;=CalcDay, T67&lt;1), "지연", IF(T67&lt;0.95,"지연",IF(P67=100%,"완료","진행중"))))</f>
        <v>완료</v>
      </c>
    </row>
    <row r="68" spans="1:21" ht="18" customHeight="1">
      <c r="A68" s="22" t="s">
        <v>134</v>
      </c>
      <c r="B68" s="15">
        <v>4</v>
      </c>
      <c r="C68" s="15" t="s">
        <v>23</v>
      </c>
      <c r="D68" s="15">
        <v>20</v>
      </c>
      <c r="E68" s="15"/>
      <c r="F68" s="16" t="s">
        <v>135</v>
      </c>
      <c r="G68" s="24" t="s">
        <v>45</v>
      </c>
      <c r="H68" s="25">
        <v>46156</v>
      </c>
      <c r="I68" s="25">
        <v>46161</v>
      </c>
      <c r="J68" s="26">
        <f>NETWORKDAYS(H68,I68)</f>
        <v>4</v>
      </c>
      <c r="K68" s="27">
        <v>1</v>
      </c>
      <c r="L68" s="28">
        <f>$D68*K68/100</f>
        <v>0.2</v>
      </c>
      <c r="M68" s="29">
        <v>46156</v>
      </c>
      <c r="N68" s="29">
        <v>46161</v>
      </c>
      <c r="O68" s="30">
        <f>NETWORKDAYS(M68,N68)</f>
        <v>4</v>
      </c>
      <c r="P68" s="33">
        <f ca="1">IF(TODAY()&gt;=N68, 1, IF(TODAY()&lt;M68, 0, NETWORKDAYS(M68, TODAY())/NETWORKDAYS(M68, N68)))</f>
        <v>1</v>
      </c>
      <c r="Q68" s="32">
        <f ca="1">$D68*P68/100</f>
        <v>0.2</v>
      </c>
      <c r="R68" s="6"/>
      <c r="S68" s="34">
        <f t="shared" ca="1" si="8"/>
        <v>0</v>
      </c>
      <c r="T68" s="7">
        <f t="shared" ref="T68:T87" ca="1" si="10">IFERROR(P68/K68, "")</f>
        <v>1</v>
      </c>
      <c r="U68" s="8" t="str">
        <f t="array" aca="1" ref="U68" ca="1">IF(S68="","",IF(AND(I68&lt;=CalcDay, T68&lt;1), "지연", IF(T68&lt;0.95,"지연",IF(P68=100%,"완료","진행중"))))</f>
        <v>완료</v>
      </c>
    </row>
    <row r="69" spans="1:21" ht="18" customHeight="1">
      <c r="A69" s="22" t="s">
        <v>136</v>
      </c>
      <c r="B69" s="15">
        <v>4</v>
      </c>
      <c r="C69" s="15" t="s">
        <v>23</v>
      </c>
      <c r="D69" s="15">
        <v>20</v>
      </c>
      <c r="E69" s="15"/>
      <c r="F69" s="16" t="s">
        <v>137</v>
      </c>
      <c r="G69" s="24" t="s">
        <v>45</v>
      </c>
      <c r="H69" s="25">
        <v>46161</v>
      </c>
      <c r="I69" s="25">
        <v>46164</v>
      </c>
      <c r="J69" s="26">
        <f>NETWORKDAYS(H69,I69)</f>
        <v>4</v>
      </c>
      <c r="K69" s="27">
        <v>1</v>
      </c>
      <c r="L69" s="28">
        <f>$D69*K69/100</f>
        <v>0.2</v>
      </c>
      <c r="M69" s="29">
        <v>46161</v>
      </c>
      <c r="N69" s="29">
        <v>46164</v>
      </c>
      <c r="O69" s="30">
        <f>NETWORKDAYS(M69,N69)</f>
        <v>4</v>
      </c>
      <c r="P69" s="33">
        <f ca="1">IF(TODAY()&gt;=N69, 1, IF(TODAY()&lt;M69, 0, NETWORKDAYS(M69, TODAY())/NETWORKDAYS(M69, N69)))</f>
        <v>1</v>
      </c>
      <c r="Q69" s="32">
        <f ca="1">$D69*P69/100</f>
        <v>0.2</v>
      </c>
      <c r="R69" s="6"/>
      <c r="S69" s="34">
        <f t="shared" ca="1" si="8"/>
        <v>0</v>
      </c>
      <c r="T69" s="7">
        <f t="shared" ca="1" si="10"/>
        <v>1</v>
      </c>
      <c r="U69" s="8" t="str">
        <f t="array" aca="1" ref="U69" ca="1">IF(S69="","",IF(AND(I69&lt;=CalcDay, T69&lt;1), "지연", IF(T69&lt;0.95,"지연",IF(P69=100%,"완료","진행중"))))</f>
        <v>완료</v>
      </c>
    </row>
    <row r="70" spans="1:21" ht="18" customHeight="1">
      <c r="A70" s="22" t="s">
        <v>138</v>
      </c>
      <c r="B70" s="15">
        <v>4</v>
      </c>
      <c r="C70" s="15" t="s">
        <v>23</v>
      </c>
      <c r="D70" s="15">
        <v>20</v>
      </c>
      <c r="E70" s="15"/>
      <c r="F70" s="16" t="s">
        <v>139</v>
      </c>
      <c r="G70" s="24" t="s">
        <v>45</v>
      </c>
      <c r="H70" s="25">
        <v>46161</v>
      </c>
      <c r="I70" s="25">
        <v>46165</v>
      </c>
      <c r="J70" s="26">
        <f>NETWORKDAYS(H70,I70)</f>
        <v>4</v>
      </c>
      <c r="K70" s="27">
        <f ca="1">IF(TODAY()&gt;=I61, 1, IF(TODAY()&lt;H61, 0, NETWORKDAYS(H61, TODAY())/NETWORKDAYS(H61, I61)))</f>
        <v>1</v>
      </c>
      <c r="L70" s="28">
        <f ca="1">$D70*K70/100</f>
        <v>0.2</v>
      </c>
      <c r="M70" s="29">
        <v>46161</v>
      </c>
      <c r="N70" s="29">
        <v>46165</v>
      </c>
      <c r="O70" s="30">
        <f>NETWORKDAYS(M70,N70)</f>
        <v>4</v>
      </c>
      <c r="P70" s="33">
        <f ca="1">IF(TODAY()&gt;=N70, 1, IF(TODAY()&lt;M70, 0, NETWORKDAYS(M70, TODAY())/NETWORKDAYS(M70, N70)))</f>
        <v>1</v>
      </c>
      <c r="Q70" s="32">
        <f ca="1">$D70*P70/100</f>
        <v>0.2</v>
      </c>
      <c r="R70" s="6"/>
      <c r="S70" s="34">
        <f t="shared" ca="1" si="8"/>
        <v>0</v>
      </c>
      <c r="T70" s="7">
        <f t="shared" ca="1" si="10"/>
        <v>1</v>
      </c>
      <c r="U70" s="8" t="str">
        <f t="array" aca="1" ref="U70" ca="1">IF(S70="","",IF(AND(I70&lt;=CalcDay, T70&lt;1), "지연", IF(T70&lt;0.95,"지연",IF(P70=100%,"완료","진행중"))))</f>
        <v>완료</v>
      </c>
    </row>
    <row r="71" spans="1:21" ht="18" customHeight="1">
      <c r="A71" s="22" t="s">
        <v>140</v>
      </c>
      <c r="B71" s="15">
        <v>4</v>
      </c>
      <c r="C71" s="15" t="s">
        <v>23</v>
      </c>
      <c r="D71" s="15">
        <v>20</v>
      </c>
      <c r="E71" s="15"/>
      <c r="F71" s="16" t="s">
        <v>141</v>
      </c>
      <c r="G71" s="24" t="s">
        <v>142</v>
      </c>
      <c r="H71" s="25">
        <v>46161</v>
      </c>
      <c r="I71" s="25">
        <v>46164</v>
      </c>
      <c r="J71" s="26">
        <f>NETWORKDAYS(H71,I71)</f>
        <v>4</v>
      </c>
      <c r="K71" s="27">
        <v>1</v>
      </c>
      <c r="L71" s="28">
        <f>$D71*K71/100</f>
        <v>0.2</v>
      </c>
      <c r="M71" s="29">
        <v>46161</v>
      </c>
      <c r="N71" s="29">
        <v>46164</v>
      </c>
      <c r="O71" s="30">
        <f>NETWORKDAYS(M71,N71)</f>
        <v>4</v>
      </c>
      <c r="P71" s="33">
        <f ca="1">IF(TODAY()&gt;=N71, 1, IF(TODAY()&lt;M71, 0, NETWORKDAYS(M71, TODAY())/NETWORKDAYS(M71, N71)))</f>
        <v>1</v>
      </c>
      <c r="Q71" s="32">
        <f ca="1">$D71*P71/100</f>
        <v>0.2</v>
      </c>
      <c r="R71" s="6"/>
      <c r="S71" s="34">
        <f ca="1">IF(AND(K71=0,P71=0), "", P71-K71)</f>
        <v>0</v>
      </c>
      <c r="T71" s="7">
        <f t="shared" ca="1" si="10"/>
        <v>1</v>
      </c>
      <c r="U71" s="8" t="str">
        <f t="array" aca="1" ref="U71" ca="1">IF(S71="","",IF(AND(I71&lt;=CalcDay, T71&lt;1), "지연", IF(T71&lt;0.95,"지연",IF(P71=100%,"완료","진행중"))))</f>
        <v>완료</v>
      </c>
    </row>
    <row r="72" spans="1:21" ht="18" customHeight="1">
      <c r="A72" s="22" t="s">
        <v>143</v>
      </c>
      <c r="B72" s="15">
        <v>4</v>
      </c>
      <c r="C72" s="15" t="s">
        <v>23</v>
      </c>
      <c r="D72" s="15">
        <v>20</v>
      </c>
      <c r="E72" s="15"/>
      <c r="F72" s="16" t="s">
        <v>144</v>
      </c>
      <c r="G72" s="24" t="s">
        <v>142</v>
      </c>
      <c r="H72" s="25">
        <v>46161</v>
      </c>
      <c r="I72" s="25">
        <v>46164</v>
      </c>
      <c r="J72" s="26">
        <f>NETWORKDAYS(H72,I72)</f>
        <v>4</v>
      </c>
      <c r="K72" s="27">
        <v>1</v>
      </c>
      <c r="L72" s="28">
        <f>$D72*K72/100</f>
        <v>0.2</v>
      </c>
      <c r="M72" s="29">
        <v>46161</v>
      </c>
      <c r="N72" s="29">
        <v>46164</v>
      </c>
      <c r="O72" s="30">
        <f>NETWORKDAYS(M72,N72)</f>
        <v>4</v>
      </c>
      <c r="P72" s="33">
        <f ca="1">IF(TODAY()&gt;=N72, 1, IF(TODAY()&lt;M72, 0, NETWORKDAYS(M72, TODAY())/NETWORKDAYS(M72, N72)))</f>
        <v>1</v>
      </c>
      <c r="Q72" s="32">
        <f ca="1">$D72*P72/100</f>
        <v>0.2</v>
      </c>
      <c r="R72" s="6"/>
      <c r="S72" s="34">
        <f ca="1">IF(AND(K72=0,P72=0), "", P72-K72)</f>
        <v>0</v>
      </c>
      <c r="T72" s="7">
        <f t="shared" ca="1" si="10"/>
        <v>1</v>
      </c>
      <c r="U72" s="8" t="str">
        <f t="array" aca="1" ref="U72" ca="1">IF(S72="","",IF(AND(I72&lt;=CalcDay, T72&lt;1), "지연", IF(T72&lt;0.95,"지연",IF(P72=100%,"완료","진행중"))))</f>
        <v>완료</v>
      </c>
    </row>
    <row r="73" spans="1:21" ht="18" customHeight="1">
      <c r="A73" s="19" t="s">
        <v>145</v>
      </c>
      <c r="B73" s="9">
        <v>2</v>
      </c>
      <c r="C73" s="9" t="s">
        <v>19</v>
      </c>
      <c r="D73" s="9">
        <v>10</v>
      </c>
      <c r="E73" s="9"/>
      <c r="F73" s="10"/>
      <c r="G73" s="11"/>
      <c r="H73" s="25">
        <f>MIN(H74:H79)</f>
        <v>46163</v>
      </c>
      <c r="I73" s="25">
        <f>MAX(I74:I79)</f>
        <v>46169</v>
      </c>
      <c r="J73" s="26">
        <f>NETWORKDAYS(H73,I73)</f>
        <v>5</v>
      </c>
      <c r="K73" s="27">
        <f ca="1">SUM(L74,L77)</f>
        <v>1</v>
      </c>
      <c r="L73" s="28">
        <f ca="1">$D73*K73/100</f>
        <v>0.1</v>
      </c>
      <c r="M73" s="29">
        <v>46163</v>
      </c>
      <c r="N73" s="29">
        <v>46164</v>
      </c>
      <c r="O73" s="30">
        <f>NETWORKDAYS(M73,N73)</f>
        <v>2</v>
      </c>
      <c r="P73" s="33">
        <f ca="1">SUM(Q63,Q66)</f>
        <v>1</v>
      </c>
      <c r="Q73" s="32">
        <f ca="1">$D73*P73/100</f>
        <v>0.1</v>
      </c>
      <c r="R73" s="6"/>
      <c r="S73" s="34">
        <f t="shared" ref="S73:S87" ca="1" si="11">IF(AND(K62=0,P62=0), "", P62-K62)</f>
        <v>0</v>
      </c>
      <c r="T73" s="7">
        <f t="shared" ca="1" si="10"/>
        <v>1</v>
      </c>
      <c r="U73" s="8" t="str">
        <f t="array" aca="1" ref="U73" ca="1">IF(S73="","",IF(AND(I73&lt;=CalcDay, T73&lt;1), "지연", IF(T73&lt;0.95,"지연",IF(P73=100%,"완료","진행중"))))</f>
        <v>완료</v>
      </c>
    </row>
    <row r="74" spans="1:21" ht="18" customHeight="1">
      <c r="A74" s="20" t="s">
        <v>146</v>
      </c>
      <c r="B74" s="12">
        <v>3</v>
      </c>
      <c r="C74" s="12" t="s">
        <v>19</v>
      </c>
      <c r="D74" s="12">
        <v>40</v>
      </c>
      <c r="E74" s="12"/>
      <c r="F74" s="13"/>
      <c r="G74" s="14"/>
      <c r="H74" s="25">
        <f>MIN(H75:H76)</f>
        <v>46163</v>
      </c>
      <c r="I74" s="25">
        <f>MAX(I75:I76)</f>
        <v>46165</v>
      </c>
      <c r="J74" s="26">
        <f>NETWORKDAYS(H74,I74)</f>
        <v>2</v>
      </c>
      <c r="K74" s="27">
        <f ca="1">SUM(L75:L76)</f>
        <v>1</v>
      </c>
      <c r="L74" s="28">
        <f ca="1">$D74*K74/100</f>
        <v>0.4</v>
      </c>
      <c r="M74" s="29">
        <v>46163</v>
      </c>
      <c r="N74" s="29">
        <v>46169</v>
      </c>
      <c r="O74" s="30">
        <f>NETWORKDAYS(M74,N74)</f>
        <v>5</v>
      </c>
      <c r="P74" s="33">
        <f ca="1">SUM(Q75:Q76)</f>
        <v>1</v>
      </c>
      <c r="Q74" s="32">
        <f ca="1">$D74*P74/100</f>
        <v>0.4</v>
      </c>
      <c r="R74" s="6"/>
      <c r="S74" s="34">
        <f t="shared" ca="1" si="11"/>
        <v>0</v>
      </c>
      <c r="T74" s="7">
        <f t="shared" ca="1" si="10"/>
        <v>1</v>
      </c>
      <c r="U74" s="8" t="str">
        <f t="array" aca="1" ref="U74" ca="1">IF(S74="","",IF(AND(I74&lt;=CalcDay, T74&lt;1), "지연", IF(T74&lt;0.95,"지연",IF(P74=100%,"완료","진행중"))))</f>
        <v>완료</v>
      </c>
    </row>
    <row r="75" spans="1:21" ht="18" customHeight="1">
      <c r="A75" s="22" t="s">
        <v>147</v>
      </c>
      <c r="B75" s="15">
        <v>4</v>
      </c>
      <c r="C75" s="15" t="s">
        <v>23</v>
      </c>
      <c r="D75" s="15">
        <v>50</v>
      </c>
      <c r="E75" s="15"/>
      <c r="F75" s="16" t="s">
        <v>148</v>
      </c>
      <c r="G75" s="24" t="s">
        <v>52</v>
      </c>
      <c r="H75" s="25">
        <v>46163</v>
      </c>
      <c r="I75" s="25">
        <v>46165</v>
      </c>
      <c r="J75" s="26">
        <f>NETWORKDAYS(H75,I75)</f>
        <v>2</v>
      </c>
      <c r="K75" s="27">
        <v>1</v>
      </c>
      <c r="L75" s="28">
        <f>$D75*K75/100</f>
        <v>0.5</v>
      </c>
      <c r="M75" s="29">
        <v>46163</v>
      </c>
      <c r="N75" s="29">
        <v>46165</v>
      </c>
      <c r="O75" s="30">
        <f>NETWORKDAYS(M75,N75)</f>
        <v>2</v>
      </c>
      <c r="P75" s="33">
        <f ca="1">IF(TODAY()&gt;=N75, 1, IF(TODAY()&lt;M75, 0, NETWORKDAYS(M75, TODAY())/NETWORKDAYS(M75, N75)))</f>
        <v>1</v>
      </c>
      <c r="Q75" s="32">
        <f ca="1">$D75*P75/100</f>
        <v>0.5</v>
      </c>
      <c r="R75" s="6"/>
      <c r="S75" s="34">
        <f t="shared" ca="1" si="11"/>
        <v>0</v>
      </c>
      <c r="T75" s="7">
        <f t="shared" ca="1" si="10"/>
        <v>1</v>
      </c>
      <c r="U75" s="8" t="str">
        <f t="array" aca="1" ref="U75" ca="1">IF(S75="","",IF(AND(I75&lt;=CalcDay, T75&lt;1), "지연", IF(T75&lt;0.95,"지연",IF(P75=100%,"완료","진행중"))))</f>
        <v>완료</v>
      </c>
    </row>
    <row r="76" spans="1:21" ht="18" customHeight="1">
      <c r="A76" s="23" t="s">
        <v>149</v>
      </c>
      <c r="B76" s="15">
        <v>4</v>
      </c>
      <c r="C76" s="15" t="s">
        <v>23</v>
      </c>
      <c r="D76" s="15">
        <v>50</v>
      </c>
      <c r="E76" s="15"/>
      <c r="F76" s="16" t="s">
        <v>148</v>
      </c>
      <c r="G76" s="24" t="s">
        <v>59</v>
      </c>
      <c r="H76" s="25">
        <v>46163</v>
      </c>
      <c r="I76" s="25">
        <v>46165</v>
      </c>
      <c r="J76" s="26">
        <f>NETWORKDAYS(H76,I76)</f>
        <v>2</v>
      </c>
      <c r="K76" s="27">
        <f ca="1">IF(TODAY()&gt;=I65, 1, IF(TODAY()&lt;H65, 0, NETWORKDAYS(H65, TODAY())/NETWORKDAYS(H65, I65)))</f>
        <v>1</v>
      </c>
      <c r="L76" s="28">
        <f ca="1">$D76*K76/100</f>
        <v>0.5</v>
      </c>
      <c r="M76" s="29">
        <v>46163</v>
      </c>
      <c r="N76" s="29">
        <v>46165</v>
      </c>
      <c r="O76" s="30">
        <f>NETWORKDAYS(M76,N76)</f>
        <v>2</v>
      </c>
      <c r="P76" s="33">
        <f ca="1">IF(TODAY()&gt;=N76, 1, IF(TODAY()&lt;M76, 0, NETWORKDAYS(M76, TODAY())/NETWORKDAYS(M76, N76)))</f>
        <v>1</v>
      </c>
      <c r="Q76" s="32">
        <f ca="1">$D76*P76/100</f>
        <v>0.5</v>
      </c>
      <c r="R76" s="6"/>
      <c r="S76" s="34">
        <f t="shared" ca="1" si="11"/>
        <v>0</v>
      </c>
      <c r="T76" s="7">
        <f t="shared" ca="1" si="10"/>
        <v>1</v>
      </c>
      <c r="U76" s="8" t="str">
        <f t="array" aca="1" ref="U76" ca="1">IF(S76="","",IF(AND(I76&lt;=CalcDay, T76&lt;1), "지연", IF(T76&lt;0.95,"지연",IF(P76=100%,"완료","진행중"))))</f>
        <v>완료</v>
      </c>
    </row>
    <row r="77" spans="1:21" ht="16">
      <c r="A77" s="20" t="s">
        <v>150</v>
      </c>
      <c r="B77" s="12">
        <v>3</v>
      </c>
      <c r="C77" s="12" t="s">
        <v>19</v>
      </c>
      <c r="D77" s="12">
        <v>60</v>
      </c>
      <c r="E77" s="12"/>
      <c r="F77" s="13"/>
      <c r="G77" s="14"/>
      <c r="H77" s="25">
        <f>MIN(H78:H79)</f>
        <v>46165</v>
      </c>
      <c r="I77" s="25">
        <f>MAX(I78:I79)</f>
        <v>46169</v>
      </c>
      <c r="J77" s="26">
        <f>NETWORKDAYS(H77,I77)</f>
        <v>3</v>
      </c>
      <c r="K77" s="27">
        <f ca="1">SUM(L78:L79)</f>
        <v>1</v>
      </c>
      <c r="L77" s="28">
        <f ca="1">$D77*K77/100</f>
        <v>0.6</v>
      </c>
      <c r="M77" s="29">
        <v>46165</v>
      </c>
      <c r="N77" s="29">
        <v>46169</v>
      </c>
      <c r="O77" s="30">
        <f>NETWORKDAYS(M77,N77)</f>
        <v>3</v>
      </c>
      <c r="P77" s="33">
        <f ca="1">SUM(Q78:Q79)</f>
        <v>1</v>
      </c>
      <c r="Q77" s="32">
        <f ca="1">$D77*P77/100</f>
        <v>0.6</v>
      </c>
      <c r="R77" s="6"/>
      <c r="S77" s="34">
        <f t="shared" ca="1" si="11"/>
        <v>0</v>
      </c>
      <c r="T77" s="7">
        <f t="shared" ca="1" si="10"/>
        <v>1</v>
      </c>
      <c r="U77" s="8" t="str">
        <f t="array" aca="1" ref="U77" ca="1">IF(S77="","",IF(AND(I77&lt;=CalcDay, T77&lt;1), "지연", IF(T77&lt;0.95,"지연",IF(P77=100%,"완료","진행중"))))</f>
        <v>완료</v>
      </c>
    </row>
    <row r="78" spans="1:21" ht="16">
      <c r="A78" s="23" t="s">
        <v>151</v>
      </c>
      <c r="B78" s="15">
        <v>4</v>
      </c>
      <c r="C78" s="15" t="s">
        <v>23</v>
      </c>
      <c r="D78" s="15">
        <v>50</v>
      </c>
      <c r="E78" s="15"/>
      <c r="F78" s="16" t="s">
        <v>152</v>
      </c>
      <c r="G78" s="24" t="s">
        <v>153</v>
      </c>
      <c r="H78" s="25">
        <v>46165</v>
      </c>
      <c r="I78" s="25">
        <v>46169</v>
      </c>
      <c r="J78" s="26">
        <f>NETWORKDAYS(H78,I78)</f>
        <v>3</v>
      </c>
      <c r="K78" s="27">
        <f ca="1">IF(TODAY()&gt;=I67, 1, IF(TODAY()&lt;H67, 0, NETWORKDAYS(H67, TODAY())/NETWORKDAYS(H67, I67)))</f>
        <v>1</v>
      </c>
      <c r="L78" s="28">
        <f ca="1">$D78*K78/100</f>
        <v>0.5</v>
      </c>
      <c r="M78" s="29">
        <v>46165</v>
      </c>
      <c r="N78" s="29">
        <v>46169</v>
      </c>
      <c r="O78" s="30">
        <f>NETWORKDAYS(M78,N78)</f>
        <v>3</v>
      </c>
      <c r="P78" s="33">
        <f ca="1">IF(TODAY()&gt;=N78, 1, IF(TODAY()&lt;M78, 0, NETWORKDAYS(M78, TODAY())/NETWORKDAYS(M78, N78)))</f>
        <v>1</v>
      </c>
      <c r="Q78" s="32">
        <f ca="1">$D78*P78/100</f>
        <v>0.5</v>
      </c>
      <c r="R78" s="6"/>
      <c r="S78" s="34">
        <f t="shared" ca="1" si="11"/>
        <v>0</v>
      </c>
      <c r="T78" s="7">
        <f t="shared" ca="1" si="10"/>
        <v>1</v>
      </c>
      <c r="U78" s="8" t="str">
        <f t="array" aca="1" ref="U78" ca="1">IF(S78="","",IF(AND(I78&lt;=CalcDay, T78&lt;1), "지연", IF(T78&lt;0.95,"지연",IF(P78=100%,"완료","진행중"))))</f>
        <v>완료</v>
      </c>
    </row>
    <row r="79" spans="1:21" ht="16">
      <c r="A79" s="22" t="s">
        <v>154</v>
      </c>
      <c r="B79" s="15">
        <v>4</v>
      </c>
      <c r="C79" s="15" t="s">
        <v>23</v>
      </c>
      <c r="D79" s="15">
        <v>50</v>
      </c>
      <c r="E79" s="15"/>
      <c r="F79" s="16" t="s">
        <v>152</v>
      </c>
      <c r="G79" s="24" t="s">
        <v>155</v>
      </c>
      <c r="H79" s="25">
        <v>46165</v>
      </c>
      <c r="I79" s="25">
        <v>46169</v>
      </c>
      <c r="J79" s="26">
        <f>NETWORKDAYS(H79,I79)</f>
        <v>3</v>
      </c>
      <c r="K79" s="27">
        <f ca="1">IF(TODAY()&gt;=I68, 1, IF(TODAY()&lt;H68, 0, NETWORKDAYS(H68, TODAY())/NETWORKDAYS(H68, I68)))</f>
        <v>1</v>
      </c>
      <c r="L79" s="28">
        <f ca="1">$D79*K79/100</f>
        <v>0.5</v>
      </c>
      <c r="M79" s="29">
        <v>46165</v>
      </c>
      <c r="N79" s="29">
        <v>46169</v>
      </c>
      <c r="O79" s="30">
        <f>NETWORKDAYS(M79,N79)</f>
        <v>3</v>
      </c>
      <c r="P79" s="33">
        <f ca="1">IF(TODAY()&gt;=N79, 1, IF(TODAY()&lt;M79, 0, NETWORKDAYS(M79, TODAY())/NETWORKDAYS(M79, N79)))</f>
        <v>1</v>
      </c>
      <c r="Q79" s="32">
        <f ca="1">$D79*P79/100</f>
        <v>0.5</v>
      </c>
      <c r="R79" s="6"/>
      <c r="S79" s="34">
        <f t="shared" ca="1" si="11"/>
        <v>0</v>
      </c>
      <c r="T79" s="7">
        <f t="shared" ca="1" si="10"/>
        <v>1</v>
      </c>
      <c r="U79" s="8" t="str">
        <f t="array" aca="1" ref="U79" ca="1">IF(S79="","",IF(AND(I79&lt;=CalcDay, T79&lt;1), "지연", IF(T79&lt;0.95,"지연",IF(P79=100%,"완료","진행중"))))</f>
        <v>완료</v>
      </c>
    </row>
    <row r="80" spans="1:21" ht="16">
      <c r="A80" s="19" t="s">
        <v>156</v>
      </c>
      <c r="B80" s="9">
        <v>2</v>
      </c>
      <c r="C80" s="9" t="s">
        <v>19</v>
      </c>
      <c r="D80" s="9">
        <v>10</v>
      </c>
      <c r="E80" s="9"/>
      <c r="F80" s="10"/>
      <c r="G80" s="11"/>
      <c r="H80" s="25">
        <f>MIN(H81:H87)</f>
        <v>46165</v>
      </c>
      <c r="I80" s="25">
        <f>MAX(I81:I87)</f>
        <v>46175</v>
      </c>
      <c r="J80" s="26">
        <f>NETWORKDAYS(H80,I80)</f>
        <v>7</v>
      </c>
      <c r="K80" s="27">
        <f ca="1">SUM(L81,L84)</f>
        <v>1</v>
      </c>
      <c r="L80" s="28">
        <f ca="1">$D80*K80/100</f>
        <v>0.1</v>
      </c>
      <c r="M80" s="29">
        <v>46165</v>
      </c>
      <c r="N80" s="29">
        <v>46175</v>
      </c>
      <c r="O80" s="30">
        <f>NETWORKDAYS(M80,N80)</f>
        <v>7</v>
      </c>
      <c r="P80" s="33">
        <f ca="1">SUM(Q81,Q84)</f>
        <v>1</v>
      </c>
      <c r="Q80" s="32">
        <f ca="1">$D80*P80/100</f>
        <v>0.1</v>
      </c>
      <c r="R80" s="6"/>
      <c r="S80" s="34">
        <f t="shared" ca="1" si="11"/>
        <v>0</v>
      </c>
      <c r="T80" s="7">
        <f t="shared" ca="1" si="10"/>
        <v>1</v>
      </c>
      <c r="U80" s="8" t="str">
        <f t="array" aca="1" ref="U80" ca="1">IF(S80="","",IF(AND(I80&lt;=CalcDay, T80&lt;1), "지연", IF(T80&lt;0.95,"지연",IF(P80=100%,"완료","진행중"))))</f>
        <v>완료</v>
      </c>
    </row>
    <row r="81" spans="1:21" ht="16">
      <c r="A81" s="20" t="s">
        <v>157</v>
      </c>
      <c r="B81" s="12">
        <v>3</v>
      </c>
      <c r="C81" s="12" t="s">
        <v>19</v>
      </c>
      <c r="D81" s="12">
        <v>40</v>
      </c>
      <c r="E81" s="12"/>
      <c r="F81" s="13"/>
      <c r="G81" s="14"/>
      <c r="H81" s="25">
        <f>MIN(H82:H83)</f>
        <v>46165</v>
      </c>
      <c r="I81" s="25">
        <f>MAX(I82:I83)</f>
        <v>46170</v>
      </c>
      <c r="J81" s="26">
        <f>NETWORKDAYS(H81,I81)</f>
        <v>4</v>
      </c>
      <c r="K81" s="27">
        <f ca="1">SUM(L82:L83)</f>
        <v>1</v>
      </c>
      <c r="L81" s="28">
        <f ca="1">$D81*K81/100</f>
        <v>0.4</v>
      </c>
      <c r="M81" s="29">
        <v>46165</v>
      </c>
      <c r="N81" s="29">
        <v>46170</v>
      </c>
      <c r="O81" s="30">
        <f>NETWORKDAYS(M81,N81)</f>
        <v>4</v>
      </c>
      <c r="P81" s="33">
        <f ca="1">SUM(Q82:Q83)</f>
        <v>1</v>
      </c>
      <c r="Q81" s="32">
        <f ca="1">$D81*P81/100</f>
        <v>0.4</v>
      </c>
      <c r="R81" s="6"/>
      <c r="S81" s="34">
        <f t="shared" ca="1" si="11"/>
        <v>0</v>
      </c>
      <c r="T81" s="7">
        <f t="shared" ca="1" si="10"/>
        <v>1</v>
      </c>
      <c r="U81" s="8" t="str">
        <f t="array" aca="1" ref="U81" ca="1">IF(S81="","",IF(AND(I81&lt;=CalcDay, T81&lt;1), "지연", IF(T81&lt;0.95,"지연",IF(P81=100%,"완료","진행중"))))</f>
        <v>완료</v>
      </c>
    </row>
    <row r="82" spans="1:21" ht="16">
      <c r="A82" s="23" t="s">
        <v>158</v>
      </c>
      <c r="B82" s="15">
        <v>4</v>
      </c>
      <c r="C82" s="15" t="s">
        <v>23</v>
      </c>
      <c r="D82" s="15">
        <v>50</v>
      </c>
      <c r="E82" s="15"/>
      <c r="F82" s="17" t="s">
        <v>159</v>
      </c>
      <c r="G82" s="24" t="s">
        <v>54</v>
      </c>
      <c r="H82" s="25">
        <v>46165</v>
      </c>
      <c r="I82" s="25">
        <v>46168</v>
      </c>
      <c r="J82" s="26">
        <f>NETWORKDAYS(H82,I82)</f>
        <v>2</v>
      </c>
      <c r="K82" s="27">
        <f ca="1">IF(TODAY()&gt;=I71, 1, IF(TODAY()&lt;H71, 0, NETWORKDAYS(H71, TODAY())/NETWORKDAYS(H71, I71)))</f>
        <v>1</v>
      </c>
      <c r="L82" s="28">
        <f ca="1">$D82*K82/100</f>
        <v>0.5</v>
      </c>
      <c r="M82" s="29">
        <v>46165</v>
      </c>
      <c r="N82" s="29">
        <v>46168</v>
      </c>
      <c r="O82" s="30">
        <f>NETWORKDAYS(M82,N82)</f>
        <v>2</v>
      </c>
      <c r="P82" s="33">
        <f ca="1">IF(TODAY()&gt;=N82, 1, IF(TODAY()&lt;M82, 0, NETWORKDAYS(M82, TODAY())/NETWORKDAYS(M82, N82)))</f>
        <v>1</v>
      </c>
      <c r="Q82" s="32">
        <f ca="1">$D82*P82/100</f>
        <v>0.5</v>
      </c>
      <c r="R82" s="6"/>
      <c r="S82" s="34">
        <f t="shared" ca="1" si="11"/>
        <v>0</v>
      </c>
      <c r="T82" s="7">
        <f t="shared" ca="1" si="10"/>
        <v>1</v>
      </c>
      <c r="U82" s="8" t="str">
        <f t="array" aca="1" ref="U82" ca="1">IF(S82="","",IF(AND(I82&lt;=CalcDay, T82&lt;1), "지연", IF(T82&lt;0.95,"지연",IF(P82=100%,"완료","진행중"))))</f>
        <v>완료</v>
      </c>
    </row>
    <row r="83" spans="1:21" ht="16">
      <c r="A83" s="22" t="s">
        <v>160</v>
      </c>
      <c r="B83" s="15">
        <v>4</v>
      </c>
      <c r="C83" s="15" t="s">
        <v>23</v>
      </c>
      <c r="D83" s="15">
        <v>50</v>
      </c>
      <c r="E83" s="15"/>
      <c r="F83" s="16" t="s">
        <v>161</v>
      </c>
      <c r="G83" s="24" t="s">
        <v>54</v>
      </c>
      <c r="H83" s="25">
        <v>46168</v>
      </c>
      <c r="I83" s="25">
        <v>46170</v>
      </c>
      <c r="J83" s="26">
        <f>NETWORKDAYS(H83,I83)</f>
        <v>3</v>
      </c>
      <c r="K83" s="27">
        <f ca="1">IF(TODAY()&gt;=I72, 1, IF(TODAY()&lt;H72, 0, NETWORKDAYS(H72, TODAY())/NETWORKDAYS(H72, I72)))</f>
        <v>1</v>
      </c>
      <c r="L83" s="28">
        <f ca="1">$D83*K83/100</f>
        <v>0.5</v>
      </c>
      <c r="M83" s="29">
        <v>46168</v>
      </c>
      <c r="N83" s="29">
        <v>46170</v>
      </c>
      <c r="O83" s="30">
        <f>NETWORKDAYS(M83,N83)</f>
        <v>3</v>
      </c>
      <c r="P83" s="33">
        <f ca="1">IF(TODAY()&gt;=N83, 1, IF(TODAY()&lt;M83, 0, NETWORKDAYS(M83, TODAY())/NETWORKDAYS(M83, N83)))</f>
        <v>1</v>
      </c>
      <c r="Q83" s="32">
        <f ca="1">$D83*P83/100</f>
        <v>0.5</v>
      </c>
      <c r="R83" s="6"/>
      <c r="S83" s="34">
        <f t="shared" ca="1" si="11"/>
        <v>0</v>
      </c>
      <c r="T83" s="7">
        <f t="shared" ca="1" si="10"/>
        <v>1</v>
      </c>
      <c r="U83" s="8" t="str">
        <f t="array" aca="1" ref="U83" ca="1">IF(S83="","",IF(AND(I83&lt;=CalcDay, T83&lt;1), "지연", IF(T83&lt;0.95,"지연",IF(P83=100%,"완료","진행중"))))</f>
        <v>완료</v>
      </c>
    </row>
    <row r="84" spans="1:21" ht="16">
      <c r="A84" s="20" t="s">
        <v>162</v>
      </c>
      <c r="B84" s="12">
        <v>3</v>
      </c>
      <c r="C84" s="12" t="s">
        <v>19</v>
      </c>
      <c r="D84" s="12">
        <v>60</v>
      </c>
      <c r="E84" s="12"/>
      <c r="F84" s="13"/>
      <c r="G84" s="14"/>
      <c r="H84" s="25">
        <f>MIN(H85:H87)</f>
        <v>46169</v>
      </c>
      <c r="I84" s="25">
        <f>MAX(I85:I87)</f>
        <v>46175</v>
      </c>
      <c r="J84" s="26">
        <f>NETWORKDAYS(H84,I84)</f>
        <v>5</v>
      </c>
      <c r="K84" s="27">
        <f ca="1">SUM(L85:L87)</f>
        <v>1</v>
      </c>
      <c r="L84" s="28">
        <f ca="1">$D84*K84/100</f>
        <v>0.6</v>
      </c>
      <c r="M84" s="29">
        <v>46169</v>
      </c>
      <c r="N84" s="29">
        <v>46174</v>
      </c>
      <c r="O84" s="30">
        <f>NETWORKDAYS(M84,N84)</f>
        <v>4</v>
      </c>
      <c r="P84" s="33">
        <f ca="1">SUM(Q85:Q87)</f>
        <v>1</v>
      </c>
      <c r="Q84" s="32">
        <f ca="1">$D84*P84/100</f>
        <v>0.6</v>
      </c>
      <c r="R84" s="6"/>
      <c r="S84" s="34">
        <f t="shared" ca="1" si="11"/>
        <v>0</v>
      </c>
      <c r="T84" s="7">
        <f t="shared" ca="1" si="10"/>
        <v>1</v>
      </c>
      <c r="U84" s="8" t="str">
        <f t="array" aca="1" ref="U84" ca="1">IF(S84="","",IF(AND(I84&lt;=CalcDay, T84&lt;1), "지연", IF(T84&lt;0.95,"지연",IF(P84=100%,"완료","진행중"))))</f>
        <v>완료</v>
      </c>
    </row>
    <row r="85" spans="1:21" ht="16">
      <c r="A85" s="21" t="s">
        <v>163</v>
      </c>
      <c r="B85" s="15">
        <v>4</v>
      </c>
      <c r="C85" s="15" t="s">
        <v>23</v>
      </c>
      <c r="D85" s="15">
        <v>34</v>
      </c>
      <c r="E85" s="15"/>
      <c r="F85" s="16" t="s">
        <v>164</v>
      </c>
      <c r="G85" s="24" t="s">
        <v>28</v>
      </c>
      <c r="H85" s="25">
        <v>46169</v>
      </c>
      <c r="I85" s="25">
        <v>46172</v>
      </c>
      <c r="J85" s="26">
        <f>NETWORKDAYS(H85,I85)</f>
        <v>3</v>
      </c>
      <c r="K85" s="27">
        <f ca="1">IF(TODAY()&gt;=I74, 1, IF(TODAY()&lt;H74, 0, NETWORKDAYS(H74, TODAY())/NETWORKDAYS(H74, I74)))</f>
        <v>1</v>
      </c>
      <c r="L85" s="28">
        <f ca="1">$D85*K85/100</f>
        <v>0.34</v>
      </c>
      <c r="M85" s="29">
        <v>46169</v>
      </c>
      <c r="N85" s="29">
        <v>46172</v>
      </c>
      <c r="O85" s="30">
        <f>NETWORKDAYS(M85,N85)</f>
        <v>3</v>
      </c>
      <c r="P85" s="33">
        <f ca="1">IF(TODAY()&gt;=N85, 1, IF(TODAY()&lt;M85, 0, NETWORKDAYS(M85, TODAY())/NETWORKDAYS(M85, N85)))</f>
        <v>1</v>
      </c>
      <c r="Q85" s="32">
        <f ca="1">$D85*P85/100</f>
        <v>0.34</v>
      </c>
      <c r="R85" s="6"/>
      <c r="S85" s="34">
        <f t="shared" ca="1" si="11"/>
        <v>0</v>
      </c>
      <c r="T85" s="7">
        <f t="shared" ca="1" si="10"/>
        <v>1</v>
      </c>
      <c r="U85" s="8" t="str">
        <f t="array" aca="1" ref="U85" ca="1">IF(S85="","",IF(AND(I85&lt;=CalcDay, T85&lt;1), "지연", IF(T85&lt;0.95,"지연",IF(P85=100%,"완료","진행중"))))</f>
        <v>완료</v>
      </c>
    </row>
    <row r="86" spans="1:21" ht="16">
      <c r="A86" s="21" t="s">
        <v>165</v>
      </c>
      <c r="B86" s="15">
        <v>4</v>
      </c>
      <c r="C86" s="15" t="s">
        <v>23</v>
      </c>
      <c r="D86" s="15">
        <v>33</v>
      </c>
      <c r="E86" s="15"/>
      <c r="F86" s="16" t="s">
        <v>166</v>
      </c>
      <c r="G86" s="24" t="s">
        <v>25</v>
      </c>
      <c r="H86" s="25">
        <v>46170</v>
      </c>
      <c r="I86" s="25">
        <v>46172</v>
      </c>
      <c r="J86" s="26">
        <f>NETWORKDAYS(H86,I86)</f>
        <v>2</v>
      </c>
      <c r="K86" s="27">
        <f ca="1">IF(TODAY()&gt;=I75, 1, IF(TODAY()&lt;H75, 0, NETWORKDAYS(H75, TODAY())/NETWORKDAYS(H75, I75)))</f>
        <v>1</v>
      </c>
      <c r="L86" s="28">
        <f ca="1">$D86*K86/100</f>
        <v>0.33</v>
      </c>
      <c r="M86" s="29">
        <v>46170</v>
      </c>
      <c r="N86" s="29">
        <v>46172</v>
      </c>
      <c r="O86" s="30">
        <f>NETWORKDAYS(M86,N86)</f>
        <v>2</v>
      </c>
      <c r="P86" s="33">
        <f ca="1">IF(TODAY()&gt;=N86, 1, IF(TODAY()&lt;M86, 0, NETWORKDAYS(M86, TODAY())/NETWORKDAYS(M86, N86)))</f>
        <v>1</v>
      </c>
      <c r="Q86" s="32">
        <f ca="1">$D86*P86/100</f>
        <v>0.33</v>
      </c>
      <c r="R86" s="6"/>
      <c r="S86" s="34">
        <f t="shared" ca="1" si="11"/>
        <v>0</v>
      </c>
      <c r="T86" s="7">
        <f t="shared" ca="1" si="10"/>
        <v>1</v>
      </c>
      <c r="U86" s="8" t="str">
        <f t="array" aca="1" ref="U86" ca="1">IF(S86="","",IF(AND(I86&lt;=CalcDay, T86&lt;1), "지연", IF(T86&lt;0.95,"지연",IF(P86=100%,"완료","진행중"))))</f>
        <v>완료</v>
      </c>
    </row>
    <row r="87" spans="1:21" ht="16">
      <c r="A87" s="22" t="s">
        <v>167</v>
      </c>
      <c r="B87" s="15">
        <v>4</v>
      </c>
      <c r="C87" s="15" t="s">
        <v>23</v>
      </c>
      <c r="D87" s="15">
        <v>33</v>
      </c>
      <c r="E87" s="15"/>
      <c r="F87" s="16" t="s">
        <v>168</v>
      </c>
      <c r="G87" s="24" t="s">
        <v>28</v>
      </c>
      <c r="H87" s="25">
        <v>46175</v>
      </c>
      <c r="I87" s="25">
        <v>46175</v>
      </c>
      <c r="J87" s="26">
        <f>NETWORKDAYS(H87,I87)</f>
        <v>1</v>
      </c>
      <c r="K87" s="27">
        <f ca="1">IF(TODAY()&gt;=I76, 1, IF(TODAY()&lt;H76, 0, NETWORKDAYS(H76, TODAY())/NETWORKDAYS(H76, I76)))</f>
        <v>1</v>
      </c>
      <c r="L87" s="28">
        <f ca="1">$D87*K87/100</f>
        <v>0.33</v>
      </c>
      <c r="M87" s="29">
        <v>46175</v>
      </c>
      <c r="N87" s="29">
        <v>46175</v>
      </c>
      <c r="O87" s="30">
        <f>NETWORKDAYS(M87,N87)</f>
        <v>1</v>
      </c>
      <c r="P87" s="33">
        <f ca="1">IF(TODAY()&gt;=N87, 1, IF(TODAY()&lt;M87, 0, NETWORKDAYS(M87, TODAY())/NETWORKDAYS(M87, N87)))</f>
        <v>1</v>
      </c>
      <c r="Q87" s="32">
        <f ca="1">$D87*P87/100</f>
        <v>0.33</v>
      </c>
      <c r="R87" s="6"/>
      <c r="S87" s="34">
        <f t="shared" ca="1" si="11"/>
        <v>0</v>
      </c>
      <c r="T87" s="7">
        <f t="shared" ca="1" si="10"/>
        <v>1</v>
      </c>
      <c r="U87" s="8" t="str">
        <f t="array" aca="1" ref="U87" ca="1">IF(S87="","",IF(AND(I87&lt;=CalcDay, T87&lt;1), "지연", IF(T87&lt;0.95,"지연",IF(P87=100%,"완료","진행중"))))</f>
        <v>완료</v>
      </c>
    </row>
  </sheetData>
  <autoFilter ref="A2:U2" xr:uid="{00000000-0009-0000-0000-000000000000}"/>
  <mergeCells count="13">
    <mergeCell ref="A1:A2"/>
    <mergeCell ref="U1:U2"/>
    <mergeCell ref="S1:S2"/>
    <mergeCell ref="H1:L1"/>
    <mergeCell ref="C1:C2"/>
    <mergeCell ref="B1:B2"/>
    <mergeCell ref="G1:G2"/>
    <mergeCell ref="F1:F2"/>
    <mergeCell ref="D1:D2"/>
    <mergeCell ref="E1:E2"/>
    <mergeCell ref="R1:R2"/>
    <mergeCell ref="M1:Q1"/>
    <mergeCell ref="T1:T2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WBS(진척관리)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보경 전</cp:lastModifiedBy>
  <cp:revision>0</cp:revision>
  <dcterms:created xsi:type="dcterms:W3CDTF">2026-04-29T05:24:17Z</dcterms:created>
  <dcterms:modified xsi:type="dcterms:W3CDTF">2026-06-04T05:54:18Z</dcterms:modified>
  <dc:language>en-US</dc:language>
</cp:coreProperties>
</file>